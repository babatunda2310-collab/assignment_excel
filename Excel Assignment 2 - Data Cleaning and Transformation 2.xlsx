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8fffbc9eba54541/Microsoft Copilot Chat Files/New folder/"/>
    </mc:Choice>
  </mc:AlternateContent>
  <xr:revisionPtr revIDLastSave="179" documentId="11_3C784BE47D5BC9D6C729A121CD02E8CB7FE6236B" xr6:coauthVersionLast="47" xr6:coauthVersionMax="47" xr10:uidLastSave="{11B8A70B-2925-45CE-9ACA-9E111D554222}"/>
  <bookViews>
    <workbookView xWindow="-110" yWindow="-110" windowWidth="19420" windowHeight="12220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B2" i="2" l="1"/>
  <c r="H7" i="2"/>
  <c r="H21" i="2"/>
  <c r="H26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2" i="2"/>
  <c r="B33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" i="2"/>
  <c r="D4" i="2"/>
  <c r="D5" i="2"/>
  <c r="D6" i="2"/>
  <c r="D7" i="2"/>
  <c r="D8" i="2"/>
  <c r="D9" i="2"/>
  <c r="D10" i="2"/>
  <c r="D11" i="2"/>
  <c r="D12" i="2"/>
  <c r="D2" i="2"/>
</calcChain>
</file>

<file path=xl/sharedStrings.xml><?xml version="1.0" encoding="utf-8"?>
<sst xmlns="http://schemas.openxmlformats.org/spreadsheetml/2006/main" count="157" uniqueCount="120">
  <si>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</si>
  <si>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</si>
  <si>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</si>
  <si>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</si>
  <si>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</si>
  <si>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</si>
  <si>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</si>
  <si>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</si>
  <si>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</si>
  <si>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</si>
  <si>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</si>
  <si>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</si>
  <si>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</si>
  <si>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</si>
  <si>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</si>
  <si>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</si>
  <si>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</si>
  <si>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</si>
  <si>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</si>
  <si>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</si>
  <si>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</si>
  <si>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</si>
  <si>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</si>
  <si>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</si>
  <si>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</si>
  <si>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</si>
  <si>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</si>
  <si>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</si>
  <si>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</si>
  <si>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</si>
  <si>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</si>
  <si>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</si>
  <si>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</si>
  <si>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</si>
  <si>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</si>
  <si>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</si>
  <si>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</si>
  <si>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</si>
  <si>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</si>
  <si>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</si>
  <si>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</si>
  <si>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</si>
  <si>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</si>
  <si>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</si>
  <si>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</si>
  <si>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</si>
  <si>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</si>
  <si>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</si>
  <si>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</si>
  <si>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</si>
  <si>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</si>
  <si>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</si>
  <si>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</si>
  <si>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</si>
  <si>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</si>
  <si>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</si>
  <si>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</si>
  <si>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</si>
  <si>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</si>
  <si>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</si>
  <si>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</si>
  <si>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</si>
  <si>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</si>
  <si>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</si>
  <si>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</si>
  <si>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</si>
  <si>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</si>
  <si>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</si>
  <si>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</si>
  <si>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</si>
  <si>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</si>
  <si>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</si>
  <si>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</si>
  <si>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</si>
  <si>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</si>
  <si>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</si>
  <si>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</si>
  <si>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</si>
  <si>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</si>
  <si>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</si>
  <si>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</si>
  <si>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</si>
  <si>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</si>
  <si>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</si>
  <si>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</si>
  <si>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</si>
  <si>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</si>
  <si>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</si>
  <si>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</si>
  <si>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</si>
  <si>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</si>
  <si>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</si>
  <si>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</si>
  <si>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</si>
  <si>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</si>
  <si>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</si>
  <si>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</si>
  <si>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</si>
  <si>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</si>
  <si>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</si>
  <si>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</si>
  <si>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</si>
  <si>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</si>
  <si>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</si>
  <si>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</si>
  <si>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</si>
  <si>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</si>
  <si>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</si>
  <si>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</si>
  <si>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</si>
  <si>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</si>
  <si>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</si>
  <si>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</si>
  <si>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</si>
  <si>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</si>
  <si>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Electronic</t>
  </si>
  <si>
    <t>Manufacturing Date</t>
  </si>
  <si>
    <t>Country Code</t>
  </si>
  <si>
    <t>Product Brand</t>
  </si>
  <si>
    <t>Product Name2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</si>
</sst>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$&quot;#,##0.00"/>
  </numFmts>
  <fonts count="8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16" fontId="5" fillId="0" borderId="0" xfId="0" applyNumberFormat="1" applyFont="1"/>
    <xf numFmtId="167" fontId="5" fillId="0" borderId="0" xfId="0" applyNumberFormat="1" applyFont="1"/>
    <xf numFmtId="2" fontId="5" fillId="0" borderId="0" xfId="0" applyNumberFormat="1" applyFont="1"/>
    <xf numFmtId="0" fontId="5" fillId="0" borderId="0" xfId="0" applyNumberFormat="1" applyFont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7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1" formatCode="d\-m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DEF6BE-8573-4198-94CF-FED803466878}" name="Table1" displayName="Table1" ref="A1:J33" totalsRowShown="0" headerRowDxfId="0">
  <autoFilter ref="A1:J33" xr:uid="{3CDEF6BE-8573-4198-94CF-FED80346687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6DAA5863-34F2-4F84-B830-30909B8FDA74}" name="Product ID" dataDxfId="10"/>
    <tableColumn id="2" xr3:uid="{C819E8A2-60D6-430E-9416-8CDE224CD4A9}" name="Manufacturing Date" dataDxfId="9">
      <calculatedColumnFormula>LEFT(A2,6)</calculatedColumnFormula>
    </tableColumn>
    <tableColumn id="3" xr3:uid="{632A7220-F181-43DD-9387-56788DE4E8BB}" name="Country Code" dataDxfId="8">
      <calculatedColumnFormula>RIGHT(A2,2)</calculatedColumnFormula>
    </tableColumn>
    <tableColumn id="4" xr3:uid="{D20221FA-FA11-45A2-8E6F-B97A2F070033}" name="Product Name" dataDxfId="7">
      <calculatedColumnFormula>PROPER(E2)</calculatedColumnFormula>
    </tableColumn>
    <tableColumn id="5" xr3:uid="{940C7757-89B7-4595-B35D-2C128FAB6C47}" name="Product Name2" dataDxfId="6"/>
    <tableColumn id="6" xr3:uid="{1FB07530-1139-468B-BB97-0BDAFA03C11D}" name="Brand Name" dataDxfId="5"/>
    <tableColumn id="7" xr3:uid="{290D7659-4E42-42D4-AC03-64135913ED91}" name="Product Brand" dataDxfId="4">
      <calculatedColumnFormula>(E2&amp;" "&amp;F2)</calculatedColumnFormula>
    </tableColumn>
    <tableColumn id="8" xr3:uid="{17E9FA38-0D1E-4203-975B-7A3A513F4054}" name="Price ($)" dataDxfId="3"/>
    <tableColumn id="9" xr3:uid="{E1EF5ACB-F9D8-4BD1-AE3B-F6429DE98F42}" name="Quantity" dataDxfId="2"/>
    <tableColumn id="10" xr3:uid="{74940216-16D8-4CC0-8ECF-ABC0900F1084}" name="Category" dataDxfId="1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9" zoomScale="113" workbookViewId="0"/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11" ht="15.75" customHeight="1" x14ac:dyDescent="0.3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5">
      <c r="C4" s="3" t="s">
        <v>2</v>
      </c>
    </row>
    <row r="5" spans="1:11" ht="15.75" customHeight="1" x14ac:dyDescent="0.35">
      <c r="B5" s="4"/>
      <c r="C5" s="3" t="s">
        <v>3</v>
      </c>
    </row>
    <row r="6" spans="1:11" ht="15.75" customHeight="1" x14ac:dyDescent="0.35">
      <c r="B6" s="4"/>
    </row>
    <row r="7" spans="1:11" ht="15.75" customHeight="1" x14ac:dyDescent="0.3">
      <c r="B7" s="2" t="s">
        <v>4</v>
      </c>
    </row>
    <row r="8" spans="1:11" ht="15.75" customHeight="1" x14ac:dyDescent="0.35">
      <c r="C8" s="3" t="s">
        <v>5</v>
      </c>
    </row>
    <row r="9" spans="1:11" ht="15.75" customHeight="1" x14ac:dyDescent="0.35">
      <c r="C9" s="3" t="s">
        <v>6</v>
      </c>
    </row>
    <row r="10" spans="1:11" ht="15.75" customHeight="1" x14ac:dyDescent="0.35">
      <c r="C10" s="3" t="s">
        <v>7</v>
      </c>
    </row>
    <row r="11" spans="1:11" ht="15.75" customHeight="1" x14ac:dyDescent="0.35">
      <c r="B11" s="4"/>
    </row>
    <row r="12" spans="1:11" ht="15.75" customHeight="1" x14ac:dyDescent="0.3">
      <c r="B12" s="2" t="s">
        <v>8</v>
      </c>
    </row>
    <row r="13" spans="1:11" ht="15.75" customHeight="1" x14ac:dyDescent="0.35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5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3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1000"/>
  <sheetViews>
    <sheetView tabSelected="1" topLeftCell="A8" zoomScale="80" workbookViewId="0">
      <selection activeCell="K11" sqref="K11"/>
    </sheetView>
  </sheetViews>
  <sheetFormatPr defaultColWidth="12.6328125" defaultRowHeight="15" customHeight="1" x14ac:dyDescent="0.25"/>
  <cols>
    <col min="1" max="1" width="12.6328125" customWidth="1"/>
    <col min="2" max="2" width="19.7265625" customWidth="1"/>
    <col min="3" max="3" width="14.7265625" customWidth="1"/>
    <col min="4" max="4" width="15" customWidth="1"/>
    <col min="5" max="5" width="16" customWidth="1"/>
    <col min="6" max="6" width="13.36328125" customWidth="1"/>
    <col min="7" max="7" width="22.6328125" customWidth="1"/>
    <col min="8" max="10" width="12.6328125" customWidth="1"/>
  </cols>
  <sheetData>
    <row r="1" spans="1:20" ht="15.75" customHeight="1" x14ac:dyDescent="0.3">
      <c r="A1" s="7" t="s">
        <v>19</v>
      </c>
      <c r="B1" s="7" t="s">
        <v>116</v>
      </c>
      <c r="C1" s="7" t="s">
        <v>117</v>
      </c>
      <c r="D1" s="7" t="s">
        <v>20</v>
      </c>
      <c r="E1" s="7" t="s">
        <v>119</v>
      </c>
      <c r="F1" s="7" t="s">
        <v>21</v>
      </c>
      <c r="G1" s="7" t="s">
        <v>118</v>
      </c>
      <c r="H1" s="7" t="s">
        <v>22</v>
      </c>
      <c r="I1" s="7" t="s">
        <v>23</v>
      </c>
      <c r="J1" s="7" t="s">
        <v>24</v>
      </c>
    </row>
    <row r="2" spans="1:20" ht="15.75" customHeight="1" x14ac:dyDescent="0.25">
      <c r="A2" s="5" t="s">
        <v>25</v>
      </c>
      <c r="B2" s="12" t="str">
        <f>LEFT(A2,6)</f>
        <v>28-JAN</v>
      </c>
      <c r="C2" s="5" t="str">
        <f>RIGHT(A2,2)</f>
        <v>US</v>
      </c>
      <c r="D2" s="5" t="str">
        <f>PROPER(E2)</f>
        <v>Laptop</v>
      </c>
      <c r="E2" s="5" t="s">
        <v>26</v>
      </c>
      <c r="F2" s="5" t="s">
        <v>27</v>
      </c>
      <c r="G2" s="5" t="str">
        <f>(E2&amp;" "&amp;F2)</f>
        <v>laptop Dell</v>
      </c>
      <c r="H2" s="10">
        <v>1000</v>
      </c>
      <c r="I2" s="5">
        <v>30</v>
      </c>
      <c r="J2" s="5" t="s">
        <v>28</v>
      </c>
    </row>
    <row r="3" spans="1:20" ht="15.75" customHeight="1" x14ac:dyDescent="0.3">
      <c r="A3" s="8" t="s">
        <v>29</v>
      </c>
      <c r="B3" s="11" t="str">
        <f t="shared" ref="B3:B32" si="0">LEFT(A3,6)</f>
        <v>15-FEB</v>
      </c>
      <c r="C3" s="5" t="str">
        <f t="shared" ref="C3:C33" si="1">RIGHT(A3,2)</f>
        <v>US</v>
      </c>
      <c r="D3" s="5" t="str">
        <f>PROPER(E3)</f>
        <v>Sneakers</v>
      </c>
      <c r="E3" s="8" t="s">
        <v>30</v>
      </c>
      <c r="F3" s="8" t="s">
        <v>31</v>
      </c>
      <c r="G3" s="5" t="str">
        <f t="shared" ref="G3:G33" si="2">(E3&amp;" "&amp;F3)</f>
        <v>Sneakers Nike</v>
      </c>
      <c r="H3" s="10">
        <v>80</v>
      </c>
      <c r="I3" s="8">
        <v>15</v>
      </c>
      <c r="J3" s="5" t="s">
        <v>32</v>
      </c>
      <c r="M3" s="2"/>
      <c r="N3" s="5"/>
      <c r="O3" s="5"/>
      <c r="P3" s="5"/>
      <c r="Q3" s="5"/>
      <c r="R3" s="5"/>
      <c r="S3" s="5"/>
      <c r="T3" s="5"/>
    </row>
    <row r="4" spans="1:20" ht="15.75" customHeight="1" x14ac:dyDescent="0.35">
      <c r="A4" s="5" t="s">
        <v>33</v>
      </c>
      <c r="B4" s="9" t="str">
        <f t="shared" si="0"/>
        <v>03-MAR</v>
      </c>
      <c r="C4" s="5" t="str">
        <f t="shared" si="1"/>
        <v>US</v>
      </c>
      <c r="D4" s="5" t="str">
        <f>PROPER(E4)</f>
        <v>Coffee Maker</v>
      </c>
      <c r="E4" s="5" t="s">
        <v>34</v>
      </c>
      <c r="F4" s="5" t="s">
        <v>35</v>
      </c>
      <c r="G4" s="5" t="str">
        <f t="shared" si="2"/>
        <v>Coffee Maker Keurig</v>
      </c>
      <c r="H4" s="10">
        <v>130</v>
      </c>
      <c r="I4" s="5">
        <v>40</v>
      </c>
      <c r="J4" s="5" t="s">
        <v>36</v>
      </c>
      <c r="M4" s="5"/>
      <c r="N4" s="3"/>
      <c r="O4" s="5"/>
      <c r="P4" s="5"/>
      <c r="Q4" s="5"/>
      <c r="R4" s="5"/>
      <c r="S4" s="5"/>
      <c r="T4" s="5"/>
    </row>
    <row r="5" spans="1:20" ht="15.75" customHeight="1" x14ac:dyDescent="0.35">
      <c r="A5" s="8" t="s">
        <v>37</v>
      </c>
      <c r="B5" s="9" t="str">
        <f t="shared" si="0"/>
        <v>11-APR</v>
      </c>
      <c r="C5" s="5" t="str">
        <f t="shared" si="1"/>
        <v>US</v>
      </c>
      <c r="D5" s="5" t="str">
        <f>PROPER(E5)</f>
        <v>Smartphone</v>
      </c>
      <c r="E5" s="8" t="s">
        <v>38</v>
      </c>
      <c r="F5" s="8" t="s">
        <v>39</v>
      </c>
      <c r="G5" s="5" t="str">
        <f t="shared" si="2"/>
        <v>smartphone Samsung</v>
      </c>
      <c r="H5" s="10">
        <v>900</v>
      </c>
      <c r="I5" s="8">
        <v>25</v>
      </c>
      <c r="J5" s="5" t="s">
        <v>28</v>
      </c>
      <c r="M5" s="5"/>
      <c r="N5" s="3"/>
      <c r="O5" s="5"/>
      <c r="P5" s="5"/>
      <c r="Q5" s="5"/>
      <c r="R5" s="5"/>
      <c r="S5" s="5"/>
      <c r="T5" s="5"/>
    </row>
    <row r="6" spans="1:20" ht="15.75" customHeight="1" x14ac:dyDescent="0.25">
      <c r="A6" s="5" t="s">
        <v>40</v>
      </c>
      <c r="B6" s="9" t="str">
        <f t="shared" si="0"/>
        <v>22-MAY</v>
      </c>
      <c r="C6" s="5" t="str">
        <f t="shared" si="1"/>
        <v>US</v>
      </c>
      <c r="D6" s="5" t="str">
        <f>PROPER(E6)</f>
        <v>Backpack</v>
      </c>
      <c r="E6" s="5" t="s">
        <v>41</v>
      </c>
      <c r="F6" s="5" t="s">
        <v>42</v>
      </c>
      <c r="G6" s="5" t="str">
        <f t="shared" si="2"/>
        <v>Backpack North Face</v>
      </c>
      <c r="H6" s="10">
        <v>70</v>
      </c>
      <c r="I6" s="5">
        <v>20</v>
      </c>
      <c r="J6" s="5" t="s">
        <v>58</v>
      </c>
    </row>
    <row r="7" spans="1:20" ht="15.75" customHeight="1" x14ac:dyDescent="0.25">
      <c r="A7" s="8" t="s">
        <v>43</v>
      </c>
      <c r="B7" s="9" t="str">
        <f t="shared" si="0"/>
        <v>07-JUN</v>
      </c>
      <c r="C7" s="5" t="str">
        <f t="shared" si="1"/>
        <v>UK</v>
      </c>
      <c r="D7" s="5" t="str">
        <f>PROPER(E7)</f>
        <v>Headphones</v>
      </c>
      <c r="E7" s="8" t="s">
        <v>44</v>
      </c>
      <c r="F7" s="8" t="s">
        <v>45</v>
      </c>
      <c r="G7" s="5" t="str">
        <f t="shared" si="2"/>
        <v>Headphones Sony</v>
      </c>
      <c r="H7" s="10">
        <f>AVERAGE(Dataset!H16,Dataset!H29)</f>
        <v>155</v>
      </c>
      <c r="I7" s="8">
        <v>45</v>
      </c>
      <c r="J7" s="5" t="s">
        <v>28</v>
      </c>
    </row>
    <row r="8" spans="1:20" ht="15.75" customHeight="1" x14ac:dyDescent="0.25">
      <c r="A8" s="5" t="s">
        <v>46</v>
      </c>
      <c r="B8" s="9" t="str">
        <f t="shared" si="0"/>
        <v>19-JUL</v>
      </c>
      <c r="C8" s="5" t="str">
        <f t="shared" si="1"/>
        <v>UK</v>
      </c>
      <c r="D8" s="5" t="str">
        <f>PROPER(E8)</f>
        <v>T-Shirt</v>
      </c>
      <c r="E8" s="5" t="s">
        <v>47</v>
      </c>
      <c r="F8" s="5" t="s">
        <v>48</v>
      </c>
      <c r="G8" s="5" t="str">
        <f t="shared" si="2"/>
        <v>T-shirt Adidas</v>
      </c>
      <c r="H8" s="10">
        <v>30</v>
      </c>
      <c r="I8" s="5">
        <v>5</v>
      </c>
      <c r="J8" s="5" t="s">
        <v>32</v>
      </c>
    </row>
    <row r="9" spans="1:20" ht="15.75" customHeight="1" x14ac:dyDescent="0.25">
      <c r="A9" s="8" t="s">
        <v>49</v>
      </c>
      <c r="B9" s="9" t="str">
        <f t="shared" si="0"/>
        <v>23-AUG</v>
      </c>
      <c r="C9" s="5" t="str">
        <f t="shared" si="1"/>
        <v>UK</v>
      </c>
      <c r="D9" s="5" t="str">
        <f>PROPER(E9)</f>
        <v>Blender</v>
      </c>
      <c r="E9" s="8" t="s">
        <v>50</v>
      </c>
      <c r="F9" s="8" t="s">
        <v>51</v>
      </c>
      <c r="G9" s="5" t="str">
        <f t="shared" si="2"/>
        <v>Blender Ninja</v>
      </c>
      <c r="H9" s="10">
        <v>90</v>
      </c>
      <c r="I9" s="8">
        <v>35</v>
      </c>
      <c r="J9" s="5" t="s">
        <v>36</v>
      </c>
    </row>
    <row r="10" spans="1:20" ht="15.75" customHeight="1" x14ac:dyDescent="0.25">
      <c r="A10" s="5" t="s">
        <v>52</v>
      </c>
      <c r="B10" s="9" t="str">
        <f t="shared" si="0"/>
        <v>05-SEP</v>
      </c>
      <c r="C10" s="5" t="str">
        <f t="shared" si="1"/>
        <v>UK</v>
      </c>
      <c r="D10" s="5" t="str">
        <f>PROPER(E10)</f>
        <v>Tablet</v>
      </c>
      <c r="E10" s="5" t="s">
        <v>53</v>
      </c>
      <c r="F10" s="5" t="s">
        <v>54</v>
      </c>
      <c r="G10" s="5" t="str">
        <f t="shared" si="2"/>
        <v>Tablet Apple</v>
      </c>
      <c r="H10" s="10">
        <v>500</v>
      </c>
      <c r="I10" s="5">
        <v>50</v>
      </c>
      <c r="J10" s="5" t="s">
        <v>28</v>
      </c>
    </row>
    <row r="11" spans="1:20" ht="15.75" customHeight="1" x14ac:dyDescent="0.25">
      <c r="A11" s="8" t="s">
        <v>55</v>
      </c>
      <c r="B11" s="9" t="str">
        <f t="shared" si="0"/>
        <v>14-OCT</v>
      </c>
      <c r="C11" s="5" t="str">
        <f t="shared" si="1"/>
        <v>UK</v>
      </c>
      <c r="D11" s="5" t="str">
        <f>PROPER(E11)</f>
        <v>Hiking Boots</v>
      </c>
      <c r="E11" s="8" t="s">
        <v>56</v>
      </c>
      <c r="F11" s="8" t="s">
        <v>57</v>
      </c>
      <c r="G11" s="5" t="str">
        <f t="shared" si="2"/>
        <v>Hiking Boots Timberland</v>
      </c>
      <c r="H11" s="10">
        <v>130</v>
      </c>
      <c r="I11" s="8">
        <v>10</v>
      </c>
      <c r="J11" s="5" t="s">
        <v>58</v>
      </c>
    </row>
    <row r="12" spans="1:20" ht="15.75" customHeight="1" x14ac:dyDescent="0.25">
      <c r="A12" s="5" t="s">
        <v>59</v>
      </c>
      <c r="B12" s="9" t="str">
        <f t="shared" si="0"/>
        <v>17-JUN</v>
      </c>
      <c r="C12" s="5" t="str">
        <f t="shared" si="1"/>
        <v>IN</v>
      </c>
      <c r="D12" s="5" t="str">
        <f>PROPER(E12)</f>
        <v>Laptop</v>
      </c>
      <c r="E12" s="5" t="s">
        <v>60</v>
      </c>
      <c r="F12" s="5" t="s">
        <v>61</v>
      </c>
      <c r="G12" s="5" t="str">
        <f t="shared" si="2"/>
        <v>Laptop HP</v>
      </c>
      <c r="H12" s="10">
        <v>950</v>
      </c>
      <c r="I12" s="5">
        <v>25</v>
      </c>
      <c r="J12" s="5" t="s">
        <v>28</v>
      </c>
    </row>
    <row r="13" spans="1:20" ht="15.75" customHeight="1" x14ac:dyDescent="0.25">
      <c r="A13" s="8" t="s">
        <v>62</v>
      </c>
      <c r="B13" s="9" t="str">
        <f t="shared" si="0"/>
        <v>25-NOV</v>
      </c>
      <c r="C13" s="5" t="str">
        <f t="shared" si="1"/>
        <v>AU</v>
      </c>
      <c r="D13" s="5" t="str">
        <f>PROPER(E13)</f>
        <v>Sneakers</v>
      </c>
      <c r="E13" s="8" t="s">
        <v>30</v>
      </c>
      <c r="F13" s="8" t="s">
        <v>48</v>
      </c>
      <c r="G13" s="5" t="str">
        <f t="shared" si="2"/>
        <v>Sneakers Adidas</v>
      </c>
      <c r="H13" s="10">
        <v>90</v>
      </c>
      <c r="I13" s="8">
        <v>40</v>
      </c>
      <c r="J13" s="5" t="s">
        <v>32</v>
      </c>
    </row>
    <row r="14" spans="1:20" ht="15.75" customHeight="1" x14ac:dyDescent="0.25">
      <c r="A14" s="5" t="s">
        <v>63</v>
      </c>
      <c r="B14" s="9" t="str">
        <f t="shared" si="0"/>
        <v>08-DEC</v>
      </c>
      <c r="C14" s="5" t="str">
        <f t="shared" si="1"/>
        <v>DE</v>
      </c>
      <c r="D14" s="5" t="str">
        <f>PROPER(E14)</f>
        <v>Coffee Maker</v>
      </c>
      <c r="E14" s="5" t="s">
        <v>34</v>
      </c>
      <c r="F14" s="5" t="s">
        <v>64</v>
      </c>
      <c r="G14" s="5" t="str">
        <f t="shared" si="2"/>
        <v>Coffee Maker Nespresso</v>
      </c>
      <c r="H14" s="10">
        <v>120</v>
      </c>
      <c r="I14" s="5">
        <v>35</v>
      </c>
      <c r="J14" s="5" t="s">
        <v>36</v>
      </c>
    </row>
    <row r="15" spans="1:20" ht="15.75" customHeight="1" x14ac:dyDescent="0.25">
      <c r="A15" s="8" t="s">
        <v>65</v>
      </c>
      <c r="B15" s="9" t="str">
        <f t="shared" si="0"/>
        <v>18-FEB</v>
      </c>
      <c r="C15" s="5" t="str">
        <f t="shared" si="1"/>
        <v>CA</v>
      </c>
      <c r="D15" s="5" t="str">
        <f>PROPER(E15)</f>
        <v>Smartwatch</v>
      </c>
      <c r="E15" s="8" t="s">
        <v>66</v>
      </c>
      <c r="F15" s="8" t="s">
        <v>67</v>
      </c>
      <c r="G15" s="5" t="str">
        <f t="shared" si="2"/>
        <v>Smartwatch Fitbit</v>
      </c>
      <c r="H15" s="10">
        <v>150</v>
      </c>
      <c r="I15" s="8">
        <v>15</v>
      </c>
      <c r="J15" s="5" t="s">
        <v>115</v>
      </c>
    </row>
    <row r="16" spans="1:20" ht="15.75" customHeight="1" x14ac:dyDescent="0.25">
      <c r="A16" s="5" t="s">
        <v>68</v>
      </c>
      <c r="B16" s="9" t="str">
        <f t="shared" si="0"/>
        <v>16-APR</v>
      </c>
      <c r="C16" s="5" t="str">
        <f t="shared" si="1"/>
        <v>ES</v>
      </c>
      <c r="D16" s="5" t="str">
        <f>PROPER(E16)</f>
        <v>Headphones</v>
      </c>
      <c r="E16" s="5" t="s">
        <v>69</v>
      </c>
      <c r="F16" s="5" t="s">
        <v>70</v>
      </c>
      <c r="G16" s="5" t="str">
        <f t="shared" si="2"/>
        <v>headphones Bose</v>
      </c>
      <c r="H16" s="10">
        <v>250</v>
      </c>
      <c r="I16" s="5">
        <v>20</v>
      </c>
      <c r="J16" s="5" t="s">
        <v>115</v>
      </c>
    </row>
    <row r="17" spans="1:10" ht="15.75" customHeight="1" x14ac:dyDescent="0.25">
      <c r="A17" s="8" t="s">
        <v>71</v>
      </c>
      <c r="B17" s="9" t="str">
        <f t="shared" si="0"/>
        <v>21-AUG</v>
      </c>
      <c r="C17" s="5" t="str">
        <f t="shared" si="1"/>
        <v>CA</v>
      </c>
      <c r="D17" s="5" t="str">
        <f>PROPER(E17)</f>
        <v>Laptop Bag</v>
      </c>
      <c r="E17" s="8" t="s">
        <v>72</v>
      </c>
      <c r="F17" s="8" t="s">
        <v>73</v>
      </c>
      <c r="G17" s="5" t="str">
        <f t="shared" si="2"/>
        <v>Laptop Bag Samsonite</v>
      </c>
      <c r="H17" s="10">
        <v>50</v>
      </c>
      <c r="I17" s="8">
        <v>35</v>
      </c>
      <c r="J17" s="5" t="s">
        <v>74</v>
      </c>
    </row>
    <row r="18" spans="1:10" ht="15.75" customHeight="1" x14ac:dyDescent="0.25">
      <c r="A18" s="5" t="s">
        <v>75</v>
      </c>
      <c r="B18" s="9" t="str">
        <f t="shared" si="0"/>
        <v>20-AUG</v>
      </c>
      <c r="C18" s="5" t="str">
        <f t="shared" si="1"/>
        <v>CN</v>
      </c>
      <c r="D18" s="5" t="str">
        <f>PROPER(E18)</f>
        <v>Smartwatch</v>
      </c>
      <c r="E18" s="5" t="s">
        <v>66</v>
      </c>
      <c r="F18" s="5" t="s">
        <v>76</v>
      </c>
      <c r="G18" s="5" t="str">
        <f t="shared" si="2"/>
        <v>Smartwatch Huawei</v>
      </c>
      <c r="H18" s="10">
        <v>160</v>
      </c>
      <c r="I18" s="5">
        <v>15</v>
      </c>
      <c r="J18" s="5" t="s">
        <v>28</v>
      </c>
    </row>
    <row r="19" spans="1:10" ht="15.75" customHeight="1" x14ac:dyDescent="0.25">
      <c r="A19" s="8" t="s">
        <v>77</v>
      </c>
      <c r="B19" s="9" t="str">
        <f t="shared" si="0"/>
        <v>27-JAN</v>
      </c>
      <c r="C19" s="5" t="str">
        <f t="shared" si="1"/>
        <v>IT</v>
      </c>
      <c r="D19" s="5" t="str">
        <f>PROPER(E19)</f>
        <v>Laptop</v>
      </c>
      <c r="E19" s="8" t="s">
        <v>26</v>
      </c>
      <c r="F19" s="8" t="s">
        <v>78</v>
      </c>
      <c r="G19" s="5" t="str">
        <f t="shared" si="2"/>
        <v>laptop Asus</v>
      </c>
      <c r="H19" s="10">
        <v>980</v>
      </c>
      <c r="I19" s="8">
        <v>10</v>
      </c>
      <c r="J19" s="5" t="s">
        <v>28</v>
      </c>
    </row>
    <row r="20" spans="1:10" ht="15.75" customHeight="1" x14ac:dyDescent="0.25">
      <c r="A20" s="5" t="s">
        <v>79</v>
      </c>
      <c r="B20" s="9" t="str">
        <f t="shared" si="0"/>
        <v>01-MAR</v>
      </c>
      <c r="C20" s="5" t="str">
        <f t="shared" si="1"/>
        <v>UK</v>
      </c>
      <c r="D20" s="5" t="str">
        <f>PROPER(E20)</f>
        <v>Sunglasses</v>
      </c>
      <c r="E20" s="5" t="s">
        <v>80</v>
      </c>
      <c r="F20" s="5" t="s">
        <v>81</v>
      </c>
      <c r="G20" s="5" t="str">
        <f t="shared" si="2"/>
        <v>Sunglasses Oakley</v>
      </c>
      <c r="H20" s="10">
        <v>150</v>
      </c>
      <c r="I20" s="5">
        <v>15</v>
      </c>
      <c r="J20" s="5" t="s">
        <v>32</v>
      </c>
    </row>
    <row r="21" spans="1:10" ht="15.75" customHeight="1" x14ac:dyDescent="0.25">
      <c r="A21" s="8" t="s">
        <v>82</v>
      </c>
      <c r="B21" s="9" t="str">
        <f t="shared" si="0"/>
        <v>14-AUG</v>
      </c>
      <c r="C21" s="5" t="str">
        <f t="shared" si="1"/>
        <v>US</v>
      </c>
      <c r="D21" s="5" t="str">
        <f>PROPER(E21)</f>
        <v>Camping Tent</v>
      </c>
      <c r="E21" s="8" t="s">
        <v>83</v>
      </c>
      <c r="F21" s="8" t="s">
        <v>84</v>
      </c>
      <c r="G21" s="5" t="str">
        <f t="shared" si="2"/>
        <v>Camping Tent Coleman</v>
      </c>
      <c r="H21" s="10">
        <f>AVERAGE(H11)</f>
        <v>130</v>
      </c>
      <c r="I21" s="8">
        <v>10</v>
      </c>
      <c r="J21" s="5" t="s">
        <v>58</v>
      </c>
    </row>
    <row r="22" spans="1:10" ht="15.75" customHeight="1" x14ac:dyDescent="0.25">
      <c r="A22" s="5" t="s">
        <v>85</v>
      </c>
      <c r="B22" s="9" t="str">
        <f t="shared" si="0"/>
        <v>14-MAY</v>
      </c>
      <c r="C22" s="5" t="str">
        <f t="shared" si="1"/>
        <v>RU</v>
      </c>
      <c r="D22" s="5" t="str">
        <f>PROPER(E22)</f>
        <v>Camera</v>
      </c>
      <c r="E22" s="5" t="s">
        <v>86</v>
      </c>
      <c r="F22" s="5" t="s">
        <v>87</v>
      </c>
      <c r="G22" s="5" t="str">
        <f t="shared" si="2"/>
        <v>Camera Nikon</v>
      </c>
      <c r="H22" s="10">
        <v>700</v>
      </c>
      <c r="I22" s="5">
        <v>50</v>
      </c>
      <c r="J22" s="5" t="s">
        <v>28</v>
      </c>
    </row>
    <row r="23" spans="1:10" ht="15.75" customHeight="1" x14ac:dyDescent="0.25">
      <c r="A23" s="8" t="s">
        <v>88</v>
      </c>
      <c r="B23" s="9" t="str">
        <f t="shared" si="0"/>
        <v>09-JAN</v>
      </c>
      <c r="C23" s="5" t="str">
        <f t="shared" si="1"/>
        <v>CA</v>
      </c>
      <c r="D23" s="5" t="str">
        <f>PROPER(E23)</f>
        <v>Microwave</v>
      </c>
      <c r="E23" s="8" t="s">
        <v>89</v>
      </c>
      <c r="F23" s="8" t="s">
        <v>90</v>
      </c>
      <c r="G23" s="5" t="str">
        <f t="shared" si="2"/>
        <v>Microwave Panasonic</v>
      </c>
      <c r="H23" s="10">
        <v>80</v>
      </c>
      <c r="I23" s="8">
        <v>20</v>
      </c>
      <c r="J23" s="5" t="s">
        <v>36</v>
      </c>
    </row>
    <row r="24" spans="1:10" ht="15.75" customHeight="1" x14ac:dyDescent="0.25">
      <c r="A24" s="5" t="s">
        <v>91</v>
      </c>
      <c r="B24" s="9" t="str">
        <f t="shared" si="0"/>
        <v>19-JUL</v>
      </c>
      <c r="C24" s="5" t="str">
        <f t="shared" si="1"/>
        <v>BR</v>
      </c>
      <c r="D24" s="5" t="str">
        <f>PROPER(E24)</f>
        <v>Fitness Tracker</v>
      </c>
      <c r="E24" s="5" t="s">
        <v>92</v>
      </c>
      <c r="F24" s="5" t="s">
        <v>93</v>
      </c>
      <c r="G24" s="5" t="str">
        <f t="shared" si="2"/>
        <v>Fitness Tracker Xiaomi</v>
      </c>
      <c r="H24" s="10">
        <v>150</v>
      </c>
      <c r="I24" s="5">
        <v>30</v>
      </c>
      <c r="J24" s="5" t="s">
        <v>28</v>
      </c>
    </row>
    <row r="25" spans="1:10" ht="15.75" customHeight="1" x14ac:dyDescent="0.25">
      <c r="A25" s="5" t="s">
        <v>94</v>
      </c>
      <c r="B25" s="9" t="str">
        <f t="shared" si="0"/>
        <v>29-SEP</v>
      </c>
      <c r="C25" s="5" t="str">
        <f t="shared" si="1"/>
        <v>CA</v>
      </c>
      <c r="D25" s="5" t="str">
        <f>PROPER(E25)</f>
        <v>Smartphone</v>
      </c>
      <c r="E25" s="5" t="s">
        <v>95</v>
      </c>
      <c r="F25" s="5" t="s">
        <v>96</v>
      </c>
      <c r="G25" s="5" t="str">
        <f t="shared" si="2"/>
        <v>Smartphone Google</v>
      </c>
      <c r="H25" s="10">
        <v>800</v>
      </c>
      <c r="I25" s="5">
        <v>45</v>
      </c>
      <c r="J25" s="5" t="s">
        <v>28</v>
      </c>
    </row>
    <row r="26" spans="1:10" ht="15.75" customHeight="1" x14ac:dyDescent="0.25">
      <c r="A26" s="8" t="s">
        <v>97</v>
      </c>
      <c r="B26" s="9" t="str">
        <f t="shared" si="0"/>
        <v>03-JUN</v>
      </c>
      <c r="C26" s="5" t="str">
        <f t="shared" si="1"/>
        <v>CA</v>
      </c>
      <c r="D26" s="5" t="str">
        <f>PROPER(E26)</f>
        <v>Sunglasses</v>
      </c>
      <c r="E26" s="8" t="s">
        <v>80</v>
      </c>
      <c r="F26" s="8" t="s">
        <v>98</v>
      </c>
      <c r="G26" s="5" t="str">
        <f t="shared" si="2"/>
        <v>Sunglasses Ray-Ban</v>
      </c>
      <c r="H26" s="10">
        <f>AVERAGE(H19)</f>
        <v>980</v>
      </c>
      <c r="I26" s="8">
        <v>25</v>
      </c>
      <c r="J26" s="5" t="s">
        <v>32</v>
      </c>
    </row>
    <row r="27" spans="1:10" ht="15.75" customHeight="1" x14ac:dyDescent="0.25">
      <c r="A27" s="5" t="s">
        <v>99</v>
      </c>
      <c r="B27" s="9" t="str">
        <f t="shared" si="0"/>
        <v>11-JUL</v>
      </c>
      <c r="C27" s="5" t="str">
        <f t="shared" si="1"/>
        <v>CA</v>
      </c>
      <c r="D27" s="5" t="str">
        <f>PROPER(E27)</f>
        <v>Blender</v>
      </c>
      <c r="E27" s="5" t="s">
        <v>50</v>
      </c>
      <c r="F27" s="5" t="s">
        <v>100</v>
      </c>
      <c r="G27" s="5" t="str">
        <f t="shared" si="2"/>
        <v>Blender Vitamix</v>
      </c>
      <c r="H27" s="10">
        <v>400</v>
      </c>
      <c r="I27" s="5">
        <v>40</v>
      </c>
      <c r="J27" s="5" t="s">
        <v>36</v>
      </c>
    </row>
    <row r="28" spans="1:10" ht="15.75" customHeight="1" x14ac:dyDescent="0.25">
      <c r="A28" s="8" t="s">
        <v>68</v>
      </c>
      <c r="B28" s="9" t="str">
        <f t="shared" si="0"/>
        <v>16-APR</v>
      </c>
      <c r="C28" s="5" t="str">
        <f t="shared" si="1"/>
        <v>ES</v>
      </c>
      <c r="D28" s="5" t="str">
        <f>PROPER(E28)</f>
        <v>Headphones</v>
      </c>
      <c r="E28" s="8" t="s">
        <v>69</v>
      </c>
      <c r="F28" s="8" t="s">
        <v>70</v>
      </c>
      <c r="G28" s="5" t="str">
        <f t="shared" si="2"/>
        <v>headphones Bose</v>
      </c>
      <c r="H28" s="10">
        <v>250</v>
      </c>
      <c r="I28" s="8">
        <v>20</v>
      </c>
      <c r="J28" s="5" t="s">
        <v>28</v>
      </c>
    </row>
    <row r="29" spans="1:10" ht="15.75" customHeight="1" x14ac:dyDescent="0.25">
      <c r="A29" s="5" t="s">
        <v>101</v>
      </c>
      <c r="B29" s="9" t="str">
        <f t="shared" si="0"/>
        <v>07-MAR</v>
      </c>
      <c r="C29" s="5" t="str">
        <f t="shared" si="1"/>
        <v>CA</v>
      </c>
      <c r="D29" s="5" t="str">
        <f>PROPER(E29)</f>
        <v>Dress</v>
      </c>
      <c r="E29" s="5" t="s">
        <v>102</v>
      </c>
      <c r="F29" s="5" t="s">
        <v>103</v>
      </c>
      <c r="G29" s="5" t="str">
        <f t="shared" si="2"/>
        <v>Dress Zara</v>
      </c>
      <c r="H29" s="10">
        <v>60</v>
      </c>
      <c r="I29" s="5">
        <v>30</v>
      </c>
      <c r="J29" s="5" t="s">
        <v>32</v>
      </c>
    </row>
    <row r="30" spans="1:10" ht="15.75" customHeight="1" x14ac:dyDescent="0.25">
      <c r="A30" s="8" t="s">
        <v>104</v>
      </c>
      <c r="B30" s="9" t="str">
        <f t="shared" si="0"/>
        <v>13-APR</v>
      </c>
      <c r="C30" s="5" t="str">
        <f t="shared" si="1"/>
        <v>CA</v>
      </c>
      <c r="D30" s="5" t="str">
        <f>PROPER(E30)</f>
        <v>Toaster</v>
      </c>
      <c r="E30" s="8" t="s">
        <v>105</v>
      </c>
      <c r="F30" s="8" t="s">
        <v>106</v>
      </c>
      <c r="G30" s="5" t="str">
        <f t="shared" si="2"/>
        <v>Toaster Hamilton</v>
      </c>
      <c r="H30" s="10">
        <v>40</v>
      </c>
      <c r="I30" s="8">
        <v>10</v>
      </c>
      <c r="J30" s="5" t="s">
        <v>36</v>
      </c>
    </row>
    <row r="31" spans="1:10" ht="15.75" customHeight="1" x14ac:dyDescent="0.25">
      <c r="A31" s="5" t="s">
        <v>107</v>
      </c>
      <c r="B31" s="9" t="str">
        <f t="shared" si="0"/>
        <v>24-MAY</v>
      </c>
      <c r="C31" s="5" t="str">
        <f t="shared" si="1"/>
        <v>CA</v>
      </c>
      <c r="D31" s="5" t="str">
        <f>PROPER(E31)</f>
        <v>Fitness Tracker</v>
      </c>
      <c r="E31" s="5" t="s">
        <v>92</v>
      </c>
      <c r="F31" s="5" t="s">
        <v>108</v>
      </c>
      <c r="G31" s="5" t="str">
        <f t="shared" si="2"/>
        <v>Fitness Tracker Garmin</v>
      </c>
      <c r="H31" s="10">
        <v>130</v>
      </c>
      <c r="I31" s="5">
        <v>5</v>
      </c>
      <c r="J31" s="5" t="s">
        <v>28</v>
      </c>
    </row>
    <row r="32" spans="1:10" ht="15.75" customHeight="1" x14ac:dyDescent="0.25">
      <c r="A32" s="8" t="s">
        <v>109</v>
      </c>
      <c r="B32" s="9" t="str">
        <f t="shared" si="0"/>
        <v>02-DEC</v>
      </c>
      <c r="C32" s="5" t="str">
        <f t="shared" si="1"/>
        <v>CA</v>
      </c>
      <c r="D32" s="5" t="str">
        <f>PROPER(E32)</f>
        <v>Jeans</v>
      </c>
      <c r="E32" s="8" t="s">
        <v>110</v>
      </c>
      <c r="F32" s="8" t="s">
        <v>111</v>
      </c>
      <c r="G32" s="5" t="str">
        <f t="shared" si="2"/>
        <v>Jeans Levi's</v>
      </c>
      <c r="H32" s="10">
        <v>50</v>
      </c>
      <c r="I32" s="8">
        <v>50</v>
      </c>
      <c r="J32" s="5" t="s">
        <v>32</v>
      </c>
    </row>
    <row r="33" spans="1:10" ht="15.75" customHeight="1" x14ac:dyDescent="0.25">
      <c r="A33" s="8" t="s">
        <v>112</v>
      </c>
      <c r="B33" s="9" t="str">
        <f>LEFT(A33,6)</f>
        <v>09-JUL</v>
      </c>
      <c r="C33" s="5" t="str">
        <f t="shared" si="1"/>
        <v>FR</v>
      </c>
      <c r="D33" s="5" t="str">
        <f>PROPER(E33)</f>
        <v>Watch</v>
      </c>
      <c r="E33" s="8" t="s">
        <v>113</v>
      </c>
      <c r="F33" s="8" t="s">
        <v>114</v>
      </c>
      <c r="G33" s="5" t="str">
        <f t="shared" si="2"/>
        <v>Watch Casio</v>
      </c>
      <c r="H33" s="10">
        <v>124</v>
      </c>
      <c r="I33" s="8">
        <v>20</v>
      </c>
      <c r="J33" s="5" t="s">
        <v>74</v>
      </c>
    </row>
    <row r="34" spans="1:10" ht="15.75" customHeight="1" x14ac:dyDescent="0.25"/>
    <row r="35" spans="1:10" ht="15.75" customHeight="1" x14ac:dyDescent="0.25"/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H2:H3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33">
    <cfRule type="containsText" dxfId="12" priority="2" operator="containsText" text="Electronics">
      <formula>NOT(ISERROR(SEARCH("Electronics",J2)))</formula>
    </cfRule>
    <cfRule type="containsText" dxfId="11" priority="1" operator="containsText" text="Electronics">
      <formula>NOT(ISERROR(SEARCH("Electronics",J2)))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mishal muhammed ali</cp:lastModifiedBy>
  <cp:lastPrinted>2026-09-16T10:22:59Z</cp:lastPrinted>
  <dcterms:modified xsi:type="dcterms:W3CDTF">2026-09-16T10:31:32Z</dcterms:modified>
</cp:coreProperties>
</file>