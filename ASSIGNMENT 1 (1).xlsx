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8fffbc9eba54541/Microsoft Copilot Chat Files/New folder/"/>
    </mc:Choice>
  </mc:AlternateContent>
  <xr:revisionPtr revIDLastSave="5" documentId="8_{1D628356-AE6E-4D15-8552-C22F97F58DF9}" xr6:coauthVersionLast="47" xr6:coauthVersionMax="47" xr10:uidLastSave="{D6AEED79-537C-424F-966B-468967AD9839}"/>
  <bookViews>
    <workbookView minimized="1" xWindow="1480" yWindow="1480" windowWidth="14400" windowHeight="8170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6" i="2" l="1"/>
  <c r="G3" i="2"/>
  <c r="G4" i="2"/>
  <c r="G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30" i="2"/>
  <c r="H31" i="2"/>
  <c r="H32" i="2"/>
  <c r="H33" i="2"/>
  <c r="H34" i="2"/>
  <c r="H35" i="2"/>
  <c r="G2" i="2"/>
  <c r="N24" i="2"/>
  <c r="O24" i="2"/>
  <c r="M20" i="2"/>
  <c r="O20" i="2"/>
  <c r="N20" i="2"/>
</calcChain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<sst xmlns="http://schemas.openxmlformats.org/spreadsheetml/2006/main" count="171" uniqueCount="122">
  <si>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</si>
  <si>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</si>
  <si>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</si>
  <si>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</si>
  <si>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</si>
  <si>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</si>
  <si>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</si>
  <si>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</si>
  <si>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</si>
  <si>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</si>
  <si>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</si>
  <si>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</si>
  <si>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</si>
  <si>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</si>
  <si>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</si>
  <si>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</si>
  <si>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</si>
  <si>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</si>
  <si>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</si>
  <si>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</si>
  <si>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</si>
  <si>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</si>
  <si>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</si>
  <si>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IF</t>
  </si>
  <si>
    <t>SUMIF</t>
  </si>
  <si>
    <t>COUNTIF</t>
  </si>
  <si>
    <t>DAY</t>
  </si>
  <si>
    <t>COUNTRY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</si>
  <si>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</si>
  <si>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</si>
  <si>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</si>
  <si>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</si>
  <si>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</si>
  <si>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</si>
  <si>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</si>
  <si>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</si>
  <si>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</si>
  <si>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</si>
  <si>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</si>
  <si>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</si>
  <si>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</si>
  <si>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</si>
  <si>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</si>
  <si>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</si>
  <si>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</si>
  <si>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</si>
  <si>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</si>
  <si>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</si>
  <si>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</si>
  <si>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</si>
  <si>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</si>
  <si>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</si>
  <si>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</si>
  <si>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</si>
  <si>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</si>
  <si>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</si>
  <si>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</si>
  <si>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</si>
  <si>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</si>
  <si>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</si>
  <si>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</si>
  <si>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</si>
  <si>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</si>
  <si>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</si>
  <si>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</si>
  <si>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</si>
  <si>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</si>
  <si>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</si>
  <si>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</si>
  <si>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</si>
  <si>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</si>
  <si>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</si>
  <si>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</si>
  <si>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</si>
  <si>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</si>
  <si>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</si>
  <si>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</si>
  <si>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</si>
  <si>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</si>
  <si>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</si>
  <si>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</si>
  <si>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 xml:space="preserve">      SUM</t>
  </si>
  <si>
    <t>ANG</t>
  </si>
  <si>
    <t>COUNT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</si>
  <si>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</si>
  <si>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</si>
  <si>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</si>
  <si>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</si>
  <si>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</si>
  <si>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</si>
  <si>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</si>
  <si>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</si>
  <si>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</si>
  <si>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</si>
  <si>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</si>
  <si>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</si>
  <si>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MIN</t>
  </si>
  <si>
    <t>MAX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</si>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</sst>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7" xfId="0" applyFont="1" applyBorder="1"/>
    <xf numFmtId="0" fontId="6" fillId="0" borderId="1" xfId="0" applyFont="1" applyBorder="1"/>
    <xf numFmtId="0" fontId="6" fillId="3" borderId="7" xfId="0" applyFont="1" applyFill="1" applyBorder="1"/>
    <xf numFmtId="0" fontId="6" fillId="3" borderId="1" xfId="0" applyFont="1" applyFill="1" applyBorder="1"/>
    <xf numFmtId="0" fontId="6" fillId="3" borderId="3" xfId="0" applyFont="1" applyFill="1" applyBorder="1"/>
    <xf numFmtId="0" fontId="6" fillId="3" borderId="9" xfId="0" applyFont="1" applyFill="1" applyBorder="1"/>
    <xf numFmtId="0" fontId="5" fillId="0" borderId="6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3" borderId="8" xfId="0" applyFont="1" applyFill="1" applyBorder="1"/>
    <xf numFmtId="0" fontId="6" fillId="3" borderId="2" xfId="0" applyFont="1" applyFill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7919A-9A51-47A7-B560-6B7715C8216E}" name="Table2" displayName="Table2" ref="A1:L35" totalsRowShown="0" headerRowDxfId="16" dataDxfId="14" headerRowBorderDxfId="15" tableBorderDxfId="13" totalsRowBorderDxfId="12">
  <autoFilter ref="A1:L35" xr:uid="{ED27919A-9A51-47A7-B560-6B7715C8216E}"/>
  <tableColumns count="12">
    <tableColumn id="1" xr3:uid="{E64C5E5A-44C3-4CD2-BC77-B3DFAAFBD646}" name="Product ID" dataDxfId="11"/>
    <tableColumn id="2" xr3:uid="{00F2CD8F-B00D-475C-A30C-15B1A8C09825}" name="Product Name" dataDxfId="10"/>
    <tableColumn id="3" xr3:uid="{BD8E3EF0-9D2A-4C40-8E44-0C32FFFB7CCC}" name="Brand Name" dataDxfId="9"/>
    <tableColumn id="4" xr3:uid="{F995FCAF-1EFF-4BB6-BBFF-9FD3CE343B66}" name="Price ($)" dataDxfId="8"/>
    <tableColumn id="5" xr3:uid="{F5C8D01B-F8B1-4FE6-9908-26CFB40BA404}" name="Quantity" dataDxfId="7"/>
    <tableColumn id="6" xr3:uid="{309BE6DD-5A40-4196-A354-5FBFF0DEDDCD}" name="Category" dataDxfId="6"/>
    <tableColumn id="7" xr3:uid="{8B84D59D-C610-4324-991C-66DA654C9A88}" name="IF" dataDxfId="5">
      <calculatedColumnFormula>IF(D2&gt;500,"HIGHPRICE","STANDARDPRICE")</calculatedColumnFormula>
    </tableColumn>
    <tableColumn id="8" xr3:uid="{74ED91C5-E556-427D-8FEE-8B35790CF66D}" name="SUMIF" dataDxfId="4">
      <calculatedColumnFormula>SUMIF(Table2[Category],Table2[[#This Row],[Category]],Table2[Price ($)])</calculatedColumnFormula>
    </tableColumn>
    <tableColumn id="9" xr3:uid="{D28AE3A5-E1F1-49F8-94A2-FCF76E3FBB41}" name="COUNTIF" dataDxfId="3">
      <calculatedColumnFormula>COUNTIF(Table2[Price ($)],"&lt;100")</calculatedColumnFormula>
    </tableColumn>
    <tableColumn id="10" xr3:uid="{CF8F512C-E9B4-48C7-8525-A5EDCDEF4AE4}" name="DAY" dataDxfId="2">
      <calculatedColumnFormula>LEFT(Table2[[#This Row],[Product Name]],2)</calculatedColumnFormula>
    </tableColumn>
    <tableColumn id="11" xr3:uid="{38B4CE04-C627-4374-9CEB-50548E666F21}" name="COUNTRY" dataDxfId="1">
      <calculatedColumnFormula>RIGHT(Table2[[#This Row],[Product Name]],2)</calculatedColumnFormula>
    </tableColumn>
    <tableColumn id="12" xr3:uid="{11EBCC89-8216-4A10-AAB3-49BD51E26C69}" name="MONTH" dataDxfId="0">
      <calculatedColumnFormula>MID(Table2[[#This Row],[Product Name]],2,4)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58" workbookViewId="0"/>
  </sheetViews>
  <sheetFormatPr defaultColWidth="12.54296875" defaultRowHeight="15" customHeight="1" x14ac:dyDescent="0.25"/>
  <cols>
    <col min="1" max="1" width="12.54296875" customWidth="1"/>
    <col min="2" max="2" width="7.453125" customWidth="1"/>
    <col min="3" max="6" width="12.5429687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topLeftCell="B1" zoomScale="58" zoomScaleNormal="58" workbookViewId="0">
      <selection activeCell="Q34" sqref="Q34"/>
    </sheetView>
  </sheetViews>
  <sheetFormatPr defaultColWidth="12.54296875" defaultRowHeight="15" customHeight="1" x14ac:dyDescent="0.25"/>
  <cols>
    <col min="1" max="1" width="12.54296875" customWidth="1"/>
    <col min="2" max="2" width="15.81640625" customWidth="1"/>
    <col min="3" max="3" width="14.26953125" customWidth="1"/>
    <col min="4" max="6" width="12.54296875" customWidth="1"/>
    <col min="7" max="7" width="17.453125" customWidth="1"/>
  </cols>
  <sheetData>
    <row r="1" spans="1:12" ht="15.75" customHeight="1" x14ac:dyDescent="0.3">
      <c r="A1" s="7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15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16" t="s">
        <v>28</v>
      </c>
    </row>
    <row r="2" spans="1:12" ht="15.75" customHeight="1" x14ac:dyDescent="0.25">
      <c r="A2" s="9" t="s">
        <v>29</v>
      </c>
      <c r="B2" s="10" t="s">
        <v>30</v>
      </c>
      <c r="C2" s="10" t="s">
        <v>31</v>
      </c>
      <c r="D2" s="10">
        <v>1000</v>
      </c>
      <c r="E2" s="10">
        <v>30</v>
      </c>
      <c r="F2" s="10" t="s">
        <v>32</v>
      </c>
      <c r="G2" s="10" t="str">
        <f>IF(D2&gt;500,"HIGHPRICE","STANDARDPRICE")</f>
        <v>HIGHPRICE</v>
      </c>
      <c r="H2" s="12">
        <f>SUMIF(Table2[Category],Table2[[#This Row],[Category]],Table2[Price ($)])</f>
        <v>8050</v>
      </c>
      <c r="I2" s="12">
        <f>COUNTIF(Table2[Price ($)],"&lt;100")</f>
        <v>11</v>
      </c>
      <c r="J2" s="12" t="str">
        <f>LEFT(Table2[[#This Row],[Product Name]],2)</f>
        <v>La</v>
      </c>
      <c r="K2" s="12" t="str">
        <f>RIGHT(Table2[[#This Row],[Product Name]],2)</f>
        <v>op</v>
      </c>
      <c r="L2" s="17" t="str">
        <f>MID(Table2[[#This Row],[Product Name]],2,4)</f>
        <v>apto</v>
      </c>
    </row>
    <row r="3" spans="1:12" ht="15.75" customHeight="1" x14ac:dyDescent="0.25">
      <c r="A3" s="11" t="s">
        <v>33</v>
      </c>
      <c r="B3" s="12" t="s">
        <v>34</v>
      </c>
      <c r="C3" s="12" t="s">
        <v>35</v>
      </c>
      <c r="D3" s="12">
        <v>80</v>
      </c>
      <c r="E3" s="12">
        <v>15</v>
      </c>
      <c r="F3" s="12" t="s">
        <v>36</v>
      </c>
      <c r="G3" s="10" t="str">
        <f t="shared" ref="G3:G35" si="0">IF(D3&gt;500,"HIGHPRICE","STANDARDPRICE")</f>
        <v>STANDARDPRICE</v>
      </c>
      <c r="H3" s="12">
        <f>SUMIF(Table2[Category],Table2[[#This Row],[Category]],Table2[Price ($)])</f>
        <v>590</v>
      </c>
      <c r="I3" s="12">
        <f>COUNTIF(Table2[Price ($)],"&lt;100")</f>
        <v>11</v>
      </c>
      <c r="J3" s="12" t="str">
        <f>LEFT(Table2[[#This Row],[Product Name]],2)</f>
        <v>Sn</v>
      </c>
      <c r="K3" s="12" t="str">
        <f>RIGHT(Table2[[#This Row],[Product Name]],2)</f>
        <v>rs</v>
      </c>
      <c r="L3" s="17" t="str">
        <f>MID(Table2[[#This Row],[Product Name]],2,4)</f>
        <v>neak</v>
      </c>
    </row>
    <row r="4" spans="1:12" ht="15.75" customHeight="1" x14ac:dyDescent="0.25">
      <c r="A4" s="9" t="s">
        <v>37</v>
      </c>
      <c r="B4" s="10" t="s">
        <v>38</v>
      </c>
      <c r="C4" s="10" t="s">
        <v>39</v>
      </c>
      <c r="D4" s="10">
        <v>130</v>
      </c>
      <c r="E4" s="10">
        <v>40</v>
      </c>
      <c r="F4" s="10" t="s">
        <v>40</v>
      </c>
      <c r="G4" s="10" t="str">
        <f t="shared" si="0"/>
        <v>STANDARDPRICE</v>
      </c>
      <c r="H4" s="12">
        <f>SUMIF(Table2[Category],Table2[[#This Row],[Category]],Table2[Price ($)])</f>
        <v>860</v>
      </c>
      <c r="I4" s="12">
        <f>COUNTIF(Table2[Price ($)],"&lt;100")</f>
        <v>11</v>
      </c>
      <c r="J4" s="12" t="str">
        <f>LEFT(Table2[[#This Row],[Product Name]],2)</f>
        <v>Co</v>
      </c>
      <c r="K4" s="12" t="str">
        <f>RIGHT(Table2[[#This Row],[Product Name]],2)</f>
        <v>er</v>
      </c>
      <c r="L4" s="17" t="str">
        <f>MID(Table2[[#This Row],[Product Name]],2,4)</f>
        <v>offe</v>
      </c>
    </row>
    <row r="5" spans="1:12" ht="15.75" customHeight="1" x14ac:dyDescent="0.25">
      <c r="A5" s="11" t="s">
        <v>41</v>
      </c>
      <c r="B5" s="12" t="s">
        <v>42</v>
      </c>
      <c r="C5" s="12" t="s">
        <v>43</v>
      </c>
      <c r="D5" s="12">
        <v>900</v>
      </c>
      <c r="E5" s="12">
        <v>25</v>
      </c>
      <c r="F5" s="12" t="s">
        <v>32</v>
      </c>
      <c r="G5" s="10" t="str">
        <f t="shared" si="0"/>
        <v>HIGHPRICE</v>
      </c>
      <c r="H5" s="12">
        <f>SUMIF(Table2[Category],Table2[[#This Row],[Category]],Table2[Price ($)])</f>
        <v>8050</v>
      </c>
      <c r="I5" s="12">
        <f>COUNTIF(Table2[Price ($)],"&lt;100")</f>
        <v>11</v>
      </c>
      <c r="J5" s="12" t="str">
        <f>LEFT(Table2[[#This Row],[Product Name]],2)</f>
        <v>Sm</v>
      </c>
      <c r="K5" s="12" t="str">
        <f>RIGHT(Table2[[#This Row],[Product Name]],2)</f>
        <v>ne</v>
      </c>
      <c r="L5" s="17" t="str">
        <f>MID(Table2[[#This Row],[Product Name]],2,4)</f>
        <v>mart</v>
      </c>
    </row>
    <row r="6" spans="1:12" ht="15.75" customHeight="1" x14ac:dyDescent="0.25">
      <c r="A6" s="9" t="s">
        <v>44</v>
      </c>
      <c r="B6" s="10" t="s">
        <v>45</v>
      </c>
      <c r="C6" s="10" t="s">
        <v>46</v>
      </c>
      <c r="D6" s="10">
        <v>70</v>
      </c>
      <c r="E6" s="10">
        <v>20</v>
      </c>
      <c r="F6" s="10" t="s">
        <v>47</v>
      </c>
      <c r="G6" s="10" t="str">
        <f>IF(D6&gt;500,"HIGHPRICE","STANDARDPRICE")</f>
        <v>STANDARDPRICE</v>
      </c>
      <c r="H6" s="12">
        <f>SUMIF(Table2[Category],Table2[[#This Row],[Category]],Table2[Price ($)])</f>
        <v>400</v>
      </c>
      <c r="I6" s="12">
        <f>COUNTIF(Table2[Price ($)],"&lt;100")</f>
        <v>11</v>
      </c>
      <c r="J6" s="12" t="str">
        <f>LEFT(Table2[[#This Row],[Product Name]],2)</f>
        <v>Ba</v>
      </c>
      <c r="K6" s="12" t="str">
        <f>RIGHT(Table2[[#This Row],[Product Name]],2)</f>
        <v>ck</v>
      </c>
      <c r="L6" s="17" t="str">
        <f>MID(Table2[[#This Row],[Product Name]],2,4)</f>
        <v>ackp</v>
      </c>
    </row>
    <row r="7" spans="1:12" ht="15.75" customHeight="1" x14ac:dyDescent="0.25">
      <c r="A7" s="11" t="s">
        <v>48</v>
      </c>
      <c r="B7" s="12" t="s">
        <v>49</v>
      </c>
      <c r="C7" s="12" t="s">
        <v>50</v>
      </c>
      <c r="D7" s="12">
        <v>200</v>
      </c>
      <c r="E7" s="12">
        <v>45</v>
      </c>
      <c r="F7" s="12" t="s">
        <v>32</v>
      </c>
      <c r="G7" s="10" t="str">
        <f t="shared" si="0"/>
        <v>STANDARDPRICE</v>
      </c>
      <c r="H7" s="12">
        <f>SUMIF(Table2[Category],Table2[[#This Row],[Category]],Table2[Price ($)])</f>
        <v>8050</v>
      </c>
      <c r="I7" s="12">
        <f>COUNTIF(Table2[Price ($)],"&lt;100")</f>
        <v>11</v>
      </c>
      <c r="J7" s="12" t="str">
        <f>LEFT(Table2[[#This Row],[Product Name]],2)</f>
        <v>He</v>
      </c>
      <c r="K7" s="12" t="str">
        <f>RIGHT(Table2[[#This Row],[Product Name]],2)</f>
        <v>es</v>
      </c>
      <c r="L7" s="17" t="str">
        <f>MID(Table2[[#This Row],[Product Name]],2,4)</f>
        <v>eadp</v>
      </c>
    </row>
    <row r="8" spans="1:12" ht="15.75" customHeight="1" x14ac:dyDescent="0.25">
      <c r="A8" s="9" t="s">
        <v>51</v>
      </c>
      <c r="B8" s="10" t="s">
        <v>52</v>
      </c>
      <c r="C8" s="10" t="s">
        <v>53</v>
      </c>
      <c r="D8" s="10">
        <v>30</v>
      </c>
      <c r="E8" s="10">
        <v>5</v>
      </c>
      <c r="F8" s="10" t="s">
        <v>36</v>
      </c>
      <c r="G8" s="10" t="str">
        <f t="shared" si="0"/>
        <v>STANDARDPRICE</v>
      </c>
      <c r="H8" s="12">
        <f>SUMIF(Table2[Category],Table2[[#This Row],[Category]],Table2[Price ($)])</f>
        <v>590</v>
      </c>
      <c r="I8" s="12">
        <f>COUNTIF(Table2[Price ($)],"&lt;100")</f>
        <v>11</v>
      </c>
      <c r="J8" s="12" t="str">
        <f>LEFT(Table2[[#This Row],[Product Name]],2)</f>
        <v>T-</v>
      </c>
      <c r="K8" s="12" t="str">
        <f>RIGHT(Table2[[#This Row],[Product Name]],2)</f>
        <v>rt</v>
      </c>
      <c r="L8" s="17" t="str">
        <f>MID(Table2[[#This Row],[Product Name]],2,4)</f>
        <v>-shi</v>
      </c>
    </row>
    <row r="9" spans="1:12" ht="15.75" customHeight="1" x14ac:dyDescent="0.25">
      <c r="A9" s="11" t="s">
        <v>54</v>
      </c>
      <c r="B9" s="12" t="s">
        <v>55</v>
      </c>
      <c r="C9" s="12" t="s">
        <v>56</v>
      </c>
      <c r="D9" s="12">
        <v>90</v>
      </c>
      <c r="E9" s="12">
        <v>35</v>
      </c>
      <c r="F9" s="12" t="s">
        <v>40</v>
      </c>
      <c r="G9" s="10" t="str">
        <f t="shared" si="0"/>
        <v>STANDARDPRICE</v>
      </c>
      <c r="H9" s="12">
        <f>SUMIF(Table2[Category],Table2[[#This Row],[Category]],Table2[Price ($)])</f>
        <v>860</v>
      </c>
      <c r="I9" s="12">
        <f>COUNTIF(Table2[Price ($)],"&lt;100")</f>
        <v>11</v>
      </c>
      <c r="J9" s="12" t="str">
        <f>LEFT(Table2[[#This Row],[Product Name]],2)</f>
        <v>Bl</v>
      </c>
      <c r="K9" s="12" t="str">
        <f>RIGHT(Table2[[#This Row],[Product Name]],2)</f>
        <v>er</v>
      </c>
      <c r="L9" s="17" t="str">
        <f>MID(Table2[[#This Row],[Product Name]],2,4)</f>
        <v>lend</v>
      </c>
    </row>
    <row r="10" spans="1:12" ht="15.75" customHeight="1" x14ac:dyDescent="0.25">
      <c r="A10" s="9" t="s">
        <v>57</v>
      </c>
      <c r="B10" s="10" t="s">
        <v>58</v>
      </c>
      <c r="C10" s="10" t="s">
        <v>59</v>
      </c>
      <c r="D10" s="10">
        <v>500</v>
      </c>
      <c r="E10" s="10">
        <v>50</v>
      </c>
      <c r="F10" s="10" t="s">
        <v>32</v>
      </c>
      <c r="G10" s="10" t="str">
        <f t="shared" si="0"/>
        <v>STANDARDPRICE</v>
      </c>
      <c r="H10" s="12">
        <f>SUMIF(Table2[Category],Table2[[#This Row],[Category]],Table2[Price ($)])</f>
        <v>8050</v>
      </c>
      <c r="I10" s="12">
        <f>COUNTIF(Table2[Price ($)],"&lt;100")</f>
        <v>11</v>
      </c>
      <c r="J10" s="12" t="str">
        <f>LEFT(Table2[[#This Row],[Product Name]],2)</f>
        <v>Ta</v>
      </c>
      <c r="K10" s="12" t="str">
        <f>RIGHT(Table2[[#This Row],[Product Name]],2)</f>
        <v>et</v>
      </c>
      <c r="L10" s="17" t="str">
        <f>MID(Table2[[#This Row],[Product Name]],2,4)</f>
        <v>able</v>
      </c>
    </row>
    <row r="11" spans="1:12" ht="15.75" customHeight="1" x14ac:dyDescent="0.25">
      <c r="A11" s="11" t="s">
        <v>60</v>
      </c>
      <c r="B11" s="12" t="s">
        <v>61</v>
      </c>
      <c r="C11" s="12" t="s">
        <v>62</v>
      </c>
      <c r="D11" s="12">
        <v>130</v>
      </c>
      <c r="E11" s="12">
        <v>10</v>
      </c>
      <c r="F11" s="12" t="s">
        <v>47</v>
      </c>
      <c r="G11" s="10" t="str">
        <f t="shared" si="0"/>
        <v>STANDARDPRICE</v>
      </c>
      <c r="H11" s="12">
        <f>SUMIF(Table2[Category],Table2[[#This Row],[Category]],Table2[Price ($)])</f>
        <v>400</v>
      </c>
      <c r="I11" s="12">
        <f>COUNTIF(Table2[Price ($)],"&lt;100")</f>
        <v>11</v>
      </c>
      <c r="J11" s="12" t="str">
        <f>LEFT(Table2[[#This Row],[Product Name]],2)</f>
        <v>Hi</v>
      </c>
      <c r="K11" s="12" t="str">
        <f>RIGHT(Table2[[#This Row],[Product Name]],2)</f>
        <v>ts</v>
      </c>
      <c r="L11" s="17" t="str">
        <f>MID(Table2[[#This Row],[Product Name]],2,4)</f>
        <v>ikin</v>
      </c>
    </row>
    <row r="12" spans="1:12" ht="15.75" customHeight="1" x14ac:dyDescent="0.25">
      <c r="A12" s="9" t="s">
        <v>63</v>
      </c>
      <c r="B12" s="10" t="s">
        <v>30</v>
      </c>
      <c r="C12" s="10" t="s">
        <v>64</v>
      </c>
      <c r="D12" s="10">
        <v>950</v>
      </c>
      <c r="E12" s="10">
        <v>25</v>
      </c>
      <c r="F12" s="10" t="s">
        <v>32</v>
      </c>
      <c r="G12" s="10" t="str">
        <f t="shared" si="0"/>
        <v>HIGHPRICE</v>
      </c>
      <c r="H12" s="12">
        <f>SUMIF(Table2[Category],Table2[[#This Row],[Category]],Table2[Price ($)])</f>
        <v>8050</v>
      </c>
      <c r="I12" s="12">
        <f>COUNTIF(Table2[Price ($)],"&lt;100")</f>
        <v>11</v>
      </c>
      <c r="J12" s="12" t="str">
        <f>LEFT(Table2[[#This Row],[Product Name]],2)</f>
        <v>La</v>
      </c>
      <c r="K12" s="12" t="str">
        <f>RIGHT(Table2[[#This Row],[Product Name]],2)</f>
        <v>op</v>
      </c>
      <c r="L12" s="17" t="str">
        <f>MID(Table2[[#This Row],[Product Name]],2,4)</f>
        <v>apto</v>
      </c>
    </row>
    <row r="13" spans="1:12" ht="15.75" customHeight="1" x14ac:dyDescent="0.25">
      <c r="A13" s="11" t="s">
        <v>65</v>
      </c>
      <c r="B13" s="12" t="s">
        <v>34</v>
      </c>
      <c r="C13" s="12" t="s">
        <v>53</v>
      </c>
      <c r="D13" s="12">
        <v>90</v>
      </c>
      <c r="E13" s="12">
        <v>40</v>
      </c>
      <c r="F13" s="12" t="s">
        <v>36</v>
      </c>
      <c r="G13" s="10" t="str">
        <f t="shared" si="0"/>
        <v>STANDARDPRICE</v>
      </c>
      <c r="H13" s="12">
        <f>SUMIF(Table2[Category],Table2[[#This Row],[Category]],Table2[Price ($)])</f>
        <v>590</v>
      </c>
      <c r="I13" s="12">
        <f>COUNTIF(Table2[Price ($)],"&lt;100")</f>
        <v>11</v>
      </c>
      <c r="J13" s="12" t="str">
        <f>LEFT(Table2[[#This Row],[Product Name]],2)</f>
        <v>Sn</v>
      </c>
      <c r="K13" s="12" t="str">
        <f>RIGHT(Table2[[#This Row],[Product Name]],2)</f>
        <v>rs</v>
      </c>
      <c r="L13" s="17" t="str">
        <f>MID(Table2[[#This Row],[Product Name]],2,4)</f>
        <v>neak</v>
      </c>
    </row>
    <row r="14" spans="1:12" ht="15.75" customHeight="1" x14ac:dyDescent="0.25">
      <c r="A14" s="9" t="s">
        <v>66</v>
      </c>
      <c r="B14" s="10" t="s">
        <v>38</v>
      </c>
      <c r="C14" s="10" t="s">
        <v>67</v>
      </c>
      <c r="D14" s="10">
        <v>120</v>
      </c>
      <c r="E14" s="10">
        <v>35</v>
      </c>
      <c r="F14" s="10" t="s">
        <v>40</v>
      </c>
      <c r="G14" s="10" t="str">
        <f t="shared" si="0"/>
        <v>STANDARDPRICE</v>
      </c>
      <c r="H14" s="12">
        <f>SUMIF(Table2[Category],Table2[[#This Row],[Category]],Table2[Price ($)])</f>
        <v>860</v>
      </c>
      <c r="I14" s="12">
        <f>COUNTIF(Table2[Price ($)],"&lt;100")</f>
        <v>11</v>
      </c>
      <c r="J14" s="12" t="str">
        <f>LEFT(Table2[[#This Row],[Product Name]],2)</f>
        <v>Co</v>
      </c>
      <c r="K14" s="12" t="str">
        <f>RIGHT(Table2[[#This Row],[Product Name]],2)</f>
        <v>er</v>
      </c>
      <c r="L14" s="17" t="str">
        <f>MID(Table2[[#This Row],[Product Name]],2,4)</f>
        <v>offe</v>
      </c>
    </row>
    <row r="15" spans="1:12" ht="15.75" customHeight="1" x14ac:dyDescent="0.25">
      <c r="A15" s="11" t="s">
        <v>68</v>
      </c>
      <c r="B15" s="12" t="s">
        <v>69</v>
      </c>
      <c r="C15" s="12" t="s">
        <v>70</v>
      </c>
      <c r="D15" s="12">
        <v>150</v>
      </c>
      <c r="E15" s="12">
        <v>15</v>
      </c>
      <c r="F15" s="12" t="s">
        <v>32</v>
      </c>
      <c r="G15" s="10" t="str">
        <f t="shared" si="0"/>
        <v>STANDARDPRICE</v>
      </c>
      <c r="H15" s="12">
        <f>SUMIF(Table2[Category],Table2[[#This Row],[Category]],Table2[Price ($)])</f>
        <v>8050</v>
      </c>
      <c r="I15" s="12">
        <f>COUNTIF(Table2[Price ($)],"&lt;100")</f>
        <v>11</v>
      </c>
      <c r="J15" s="12" t="str">
        <f>LEFT(Table2[[#This Row],[Product Name]],2)</f>
        <v>Sm</v>
      </c>
      <c r="K15" s="12" t="str">
        <f>RIGHT(Table2[[#This Row],[Product Name]],2)</f>
        <v>ch</v>
      </c>
      <c r="L15" s="17" t="str">
        <f>MID(Table2[[#This Row],[Product Name]],2,4)</f>
        <v>mart</v>
      </c>
    </row>
    <row r="16" spans="1:12" ht="15.75" customHeight="1" x14ac:dyDescent="0.25">
      <c r="A16" s="9" t="s">
        <v>71</v>
      </c>
      <c r="B16" s="10" t="s">
        <v>49</v>
      </c>
      <c r="C16" s="10" t="s">
        <v>72</v>
      </c>
      <c r="D16" s="10">
        <v>250</v>
      </c>
      <c r="E16" s="10">
        <v>20</v>
      </c>
      <c r="F16" s="10" t="s">
        <v>32</v>
      </c>
      <c r="G16" s="10" t="str">
        <f t="shared" si="0"/>
        <v>STANDARDPRICE</v>
      </c>
      <c r="H16" s="12">
        <f>SUMIF(Table2[Category],Table2[[#This Row],[Category]],Table2[Price ($)])</f>
        <v>8050</v>
      </c>
      <c r="I16" s="12">
        <f>COUNTIF(Table2[Price ($)],"&lt;100")</f>
        <v>11</v>
      </c>
      <c r="J16" s="12" t="str">
        <f>LEFT(Table2[[#This Row],[Product Name]],2)</f>
        <v>He</v>
      </c>
      <c r="K16" s="12" t="str">
        <f>RIGHT(Table2[[#This Row],[Product Name]],2)</f>
        <v>es</v>
      </c>
      <c r="L16" s="17" t="str">
        <f>MID(Table2[[#This Row],[Product Name]],2,4)</f>
        <v>eadp</v>
      </c>
    </row>
    <row r="17" spans="1:15" ht="15.75" customHeight="1" x14ac:dyDescent="0.25">
      <c r="A17" s="11" t="s">
        <v>73</v>
      </c>
      <c r="B17" s="12" t="s">
        <v>74</v>
      </c>
      <c r="C17" s="12" t="s">
        <v>75</v>
      </c>
      <c r="D17" s="12">
        <v>50</v>
      </c>
      <c r="E17" s="12">
        <v>35</v>
      </c>
      <c r="F17" s="12" t="s">
        <v>76</v>
      </c>
      <c r="G17" s="10" t="str">
        <f t="shared" si="0"/>
        <v>STANDARDPRICE</v>
      </c>
      <c r="H17" s="12">
        <f>SUMIF(Table2[Category],Table2[[#This Row],[Category]],Table2[Price ($)])</f>
        <v>200</v>
      </c>
      <c r="I17" s="12">
        <f>COUNTIF(Table2[Price ($)],"&lt;100")</f>
        <v>11</v>
      </c>
      <c r="J17" s="12" t="str">
        <f>LEFT(Table2[[#This Row],[Product Name]],2)</f>
        <v>La</v>
      </c>
      <c r="K17" s="12" t="str">
        <f>RIGHT(Table2[[#This Row],[Product Name]],2)</f>
        <v>ag</v>
      </c>
      <c r="L17" s="17" t="str">
        <f>MID(Table2[[#This Row],[Product Name]],2,4)</f>
        <v>apto</v>
      </c>
    </row>
    <row r="18" spans="1:15" ht="15.75" customHeight="1" x14ac:dyDescent="0.25">
      <c r="A18" s="9" t="s">
        <v>77</v>
      </c>
      <c r="B18" s="10" t="s">
        <v>69</v>
      </c>
      <c r="C18" s="10" t="s">
        <v>78</v>
      </c>
      <c r="D18" s="10">
        <v>160</v>
      </c>
      <c r="E18" s="10">
        <v>15</v>
      </c>
      <c r="F18" s="10" t="s">
        <v>32</v>
      </c>
      <c r="G18" s="10" t="str">
        <f t="shared" si="0"/>
        <v>STANDARDPRICE</v>
      </c>
      <c r="H18" s="12">
        <f>SUMIF(Table2[Category],Table2[[#This Row],[Category]],Table2[Price ($)])</f>
        <v>8050</v>
      </c>
      <c r="I18" s="12">
        <f>COUNTIF(Table2[Price ($)],"&lt;100")</f>
        <v>11</v>
      </c>
      <c r="J18" s="12" t="str">
        <f>LEFT(Table2[[#This Row],[Product Name]],2)</f>
        <v>Sm</v>
      </c>
      <c r="K18" s="12" t="str">
        <f>RIGHT(Table2[[#This Row],[Product Name]],2)</f>
        <v>ch</v>
      </c>
      <c r="L18" s="17" t="str">
        <f>MID(Table2[[#This Row],[Product Name]],2,4)</f>
        <v>mart</v>
      </c>
    </row>
    <row r="19" spans="1:15" ht="15.75" customHeight="1" x14ac:dyDescent="0.25">
      <c r="A19" s="11" t="s">
        <v>79</v>
      </c>
      <c r="B19" s="12" t="s">
        <v>30</v>
      </c>
      <c r="C19" s="12" t="s">
        <v>80</v>
      </c>
      <c r="D19" s="12">
        <v>980</v>
      </c>
      <c r="E19" s="12">
        <v>10</v>
      </c>
      <c r="F19" s="12" t="s">
        <v>32</v>
      </c>
      <c r="G19" s="10" t="str">
        <f t="shared" si="0"/>
        <v>HIGHPRICE</v>
      </c>
      <c r="H19" s="12">
        <f>SUMIF(Table2[Category],Table2[[#This Row],[Category]],Table2[Price ($)])</f>
        <v>8050</v>
      </c>
      <c r="I19" s="12">
        <f>COUNTIF(Table2[Price ($)],"&lt;100")</f>
        <v>11</v>
      </c>
      <c r="J19" s="12" t="str">
        <f>LEFT(Table2[[#This Row],[Product Name]],2)</f>
        <v>La</v>
      </c>
      <c r="K19" s="12" t="str">
        <f>RIGHT(Table2[[#This Row],[Product Name]],2)</f>
        <v>op</v>
      </c>
      <c r="L19" s="17" t="str">
        <f>MID(Table2[[#This Row],[Product Name]],2,4)</f>
        <v>apto</v>
      </c>
      <c r="M19" s="5" t="s">
        <v>81</v>
      </c>
      <c r="N19" s="5" t="s">
        <v>82</v>
      </c>
      <c r="O19" s="5" t="s">
        <v>83</v>
      </c>
    </row>
    <row r="20" spans="1:15" ht="15.75" customHeight="1" x14ac:dyDescent="0.25">
      <c r="A20" s="9" t="s">
        <v>84</v>
      </c>
      <c r="B20" s="10" t="s">
        <v>85</v>
      </c>
      <c r="C20" s="10" t="s">
        <v>86</v>
      </c>
      <c r="D20" s="10">
        <v>150</v>
      </c>
      <c r="E20" s="10">
        <v>15</v>
      </c>
      <c r="F20" s="10" t="s">
        <v>36</v>
      </c>
      <c r="G20" s="10" t="str">
        <f t="shared" si="0"/>
        <v>STANDARDPRICE</v>
      </c>
      <c r="H20" s="12">
        <f>SUMIF(Table2[Category],Table2[[#This Row],[Category]],Table2[Price ($)])</f>
        <v>590</v>
      </c>
      <c r="I20" s="12">
        <f>COUNTIF(Table2[Price ($)],"&lt;100")</f>
        <v>11</v>
      </c>
      <c r="J20" s="12" t="str">
        <f>LEFT(Table2[[#This Row],[Product Name]],2)</f>
        <v>Su</v>
      </c>
      <c r="K20" s="12" t="str">
        <f>RIGHT(Table2[[#This Row],[Product Name]],2)</f>
        <v>es</v>
      </c>
      <c r="L20" s="17" t="str">
        <f>MID(Table2[[#This Row],[Product Name]],2,4)</f>
        <v>ungl</v>
      </c>
      <c r="M20" s="5">
        <f>SUM(D2:D35)</f>
        <v>10100</v>
      </c>
      <c r="N20" s="5">
        <f>AVERAGE(D2:D35)</f>
        <v>297.05882352941177</v>
      </c>
      <c r="O20" s="5">
        <f>COUNT(E2:E35)</f>
        <v>34</v>
      </c>
    </row>
    <row r="21" spans="1:15" ht="15.75" customHeight="1" x14ac:dyDescent="0.25">
      <c r="A21" s="11" t="s">
        <v>87</v>
      </c>
      <c r="B21" s="12" t="s">
        <v>88</v>
      </c>
      <c r="C21" s="12" t="s">
        <v>89</v>
      </c>
      <c r="D21" s="12">
        <v>200</v>
      </c>
      <c r="E21" s="12">
        <v>10</v>
      </c>
      <c r="F21" s="12" t="s">
        <v>47</v>
      </c>
      <c r="G21" s="10" t="str">
        <f t="shared" si="0"/>
        <v>STANDARDPRICE</v>
      </c>
      <c r="H21" s="12">
        <f>SUMIF(Table2[Category],Table2[[#This Row],[Category]],Table2[Price ($)])</f>
        <v>400</v>
      </c>
      <c r="I21" s="12">
        <f>COUNTIF(Table2[Price ($)],"&lt;100")</f>
        <v>11</v>
      </c>
      <c r="J21" s="12" t="str">
        <f>LEFT(Table2[[#This Row],[Product Name]],2)</f>
        <v>Ca</v>
      </c>
      <c r="K21" s="12" t="str">
        <f>RIGHT(Table2[[#This Row],[Product Name]],2)</f>
        <v>nt</v>
      </c>
      <c r="L21" s="17" t="str">
        <f>MID(Table2[[#This Row],[Product Name]],2,4)</f>
        <v>ampi</v>
      </c>
    </row>
    <row r="22" spans="1:15" ht="15.75" customHeight="1" x14ac:dyDescent="0.25">
      <c r="A22" s="9" t="s">
        <v>90</v>
      </c>
      <c r="B22" s="10" t="s">
        <v>91</v>
      </c>
      <c r="C22" s="10" t="s">
        <v>92</v>
      </c>
      <c r="D22" s="10">
        <v>700</v>
      </c>
      <c r="E22" s="10">
        <v>50</v>
      </c>
      <c r="F22" s="10" t="s">
        <v>32</v>
      </c>
      <c r="G22" s="10" t="str">
        <f t="shared" si="0"/>
        <v>HIGHPRICE</v>
      </c>
      <c r="H22" s="12">
        <f>SUMIF(Table2[Category],Table2[[#This Row],[Category]],Table2[Price ($)])</f>
        <v>8050</v>
      </c>
      <c r="I22" s="12">
        <f>COUNTIF(Table2[Price ($)],"&lt;100")</f>
        <v>11</v>
      </c>
      <c r="J22" s="12" t="str">
        <f>LEFT(Table2[[#This Row],[Product Name]],2)</f>
        <v>Ca</v>
      </c>
      <c r="K22" s="12" t="str">
        <f>RIGHT(Table2[[#This Row],[Product Name]],2)</f>
        <v>ra</v>
      </c>
      <c r="L22" s="17" t="str">
        <f>MID(Table2[[#This Row],[Product Name]],2,4)</f>
        <v>amer</v>
      </c>
    </row>
    <row r="23" spans="1:15" ht="15.75" customHeight="1" x14ac:dyDescent="0.25">
      <c r="A23" s="11" t="s">
        <v>93</v>
      </c>
      <c r="B23" s="12" t="s">
        <v>94</v>
      </c>
      <c r="C23" s="12" t="s">
        <v>95</v>
      </c>
      <c r="D23" s="12">
        <v>80</v>
      </c>
      <c r="E23" s="12">
        <v>20</v>
      </c>
      <c r="F23" s="12" t="s">
        <v>40</v>
      </c>
      <c r="G23" s="10" t="str">
        <f t="shared" si="0"/>
        <v>STANDARDPRICE</v>
      </c>
      <c r="H23" s="12">
        <f>SUMIF(Table2[Category],Table2[[#This Row],[Category]],Table2[Price ($)])</f>
        <v>860</v>
      </c>
      <c r="I23" s="12">
        <f>COUNTIF(Table2[Price ($)],"&lt;100")</f>
        <v>11</v>
      </c>
      <c r="J23" s="12" t="str">
        <f>LEFT(Table2[[#This Row],[Product Name]],2)</f>
        <v>Mi</v>
      </c>
      <c r="K23" s="12" t="str">
        <f>RIGHT(Table2[[#This Row],[Product Name]],2)</f>
        <v>ve</v>
      </c>
      <c r="L23" s="17" t="str">
        <f>MID(Table2[[#This Row],[Product Name]],2,4)</f>
        <v>icro</v>
      </c>
      <c r="N23" s="6" t="s">
        <v>96</v>
      </c>
      <c r="O23" s="6" t="s">
        <v>97</v>
      </c>
    </row>
    <row r="24" spans="1:15" ht="15.75" customHeight="1" x14ac:dyDescent="0.25">
      <c r="A24" s="9" t="s">
        <v>98</v>
      </c>
      <c r="B24" s="10" t="s">
        <v>99</v>
      </c>
      <c r="C24" s="10" t="s">
        <v>100</v>
      </c>
      <c r="D24" s="10">
        <v>150</v>
      </c>
      <c r="E24" s="10">
        <v>30</v>
      </c>
      <c r="F24" s="10" t="s">
        <v>32</v>
      </c>
      <c r="G24" s="10" t="str">
        <f t="shared" si="0"/>
        <v>STANDARDPRICE</v>
      </c>
      <c r="H24" s="12">
        <f>SUMIF(Table2[Category],Table2[[#This Row],[Category]],Table2[Price ($)])</f>
        <v>8050</v>
      </c>
      <c r="I24" s="12">
        <f>COUNTIF(Table2[Price ($)],"&lt;100")</f>
        <v>11</v>
      </c>
      <c r="J24" s="12" t="str">
        <f>LEFT(Table2[[#This Row],[Product Name]],2)</f>
        <v>Fi</v>
      </c>
      <c r="K24" s="12" t="str">
        <f>RIGHT(Table2[[#This Row],[Product Name]],2)</f>
        <v>er</v>
      </c>
      <c r="L24" s="17" t="str">
        <f>MID(Table2[[#This Row],[Product Name]],2,4)</f>
        <v>itne</v>
      </c>
      <c r="N24" s="6">
        <f>MIN(D2:D35)</f>
        <v>30</v>
      </c>
      <c r="O24" s="6">
        <f>MAX(D2:D35)</f>
        <v>1000</v>
      </c>
    </row>
    <row r="25" spans="1:15" ht="15.75" customHeight="1" x14ac:dyDescent="0.25">
      <c r="A25" s="11" t="s">
        <v>73</v>
      </c>
      <c r="B25" s="12" t="s">
        <v>74</v>
      </c>
      <c r="C25" s="12" t="s">
        <v>75</v>
      </c>
      <c r="D25" s="12">
        <v>50</v>
      </c>
      <c r="E25" s="12">
        <v>35</v>
      </c>
      <c r="F25" s="12" t="s">
        <v>76</v>
      </c>
      <c r="G25" s="10" t="str">
        <f t="shared" si="0"/>
        <v>STANDARDPRICE</v>
      </c>
      <c r="H25" s="12">
        <f>SUMIF(Table2[Category],Table2[[#This Row],[Category]],Table2[Price ($)])</f>
        <v>200</v>
      </c>
      <c r="I25" s="12">
        <f>COUNTIF(Table2[Price ($)],"&lt;100")</f>
        <v>11</v>
      </c>
      <c r="J25" s="12" t="str">
        <f>LEFT(Table2[[#This Row],[Product Name]],2)</f>
        <v>La</v>
      </c>
      <c r="K25" s="12" t="str">
        <f>RIGHT(Table2[[#This Row],[Product Name]],2)</f>
        <v>ag</v>
      </c>
      <c r="L25" s="17" t="str">
        <f>MID(Table2[[#This Row],[Product Name]],2,4)</f>
        <v>apto</v>
      </c>
    </row>
    <row r="26" spans="1:15" ht="15.75" customHeight="1" x14ac:dyDescent="0.25">
      <c r="A26" s="9" t="s">
        <v>101</v>
      </c>
      <c r="B26" s="10" t="s">
        <v>42</v>
      </c>
      <c r="C26" s="10" t="s">
        <v>102</v>
      </c>
      <c r="D26" s="10">
        <v>800</v>
      </c>
      <c r="E26" s="10">
        <v>45</v>
      </c>
      <c r="F26" s="10" t="s">
        <v>32</v>
      </c>
      <c r="G26" s="10" t="str">
        <f t="shared" si="0"/>
        <v>HIGHPRICE</v>
      </c>
      <c r="H26" s="12">
        <f>SUMIF(Table2[Category],Table2[[#This Row],[Category]],Table2[Price ($)])</f>
        <v>8050</v>
      </c>
      <c r="I26" s="12">
        <f>COUNTIF(Table2[Price ($)],"&lt;100")</f>
        <v>11</v>
      </c>
      <c r="J26" s="12" t="str">
        <f>LEFT(Table2[[#This Row],[Product Name]],2)</f>
        <v>Sm</v>
      </c>
      <c r="K26" s="12" t="str">
        <f>RIGHT(Table2[[#This Row],[Product Name]],2)</f>
        <v>ne</v>
      </c>
      <c r="L26" s="17" t="str">
        <f>MID(Table2[[#This Row],[Product Name]],2,4)</f>
        <v>mart</v>
      </c>
    </row>
    <row r="27" spans="1:15" ht="15.75" customHeight="1" x14ac:dyDescent="0.25">
      <c r="A27" s="11" t="s">
        <v>103</v>
      </c>
      <c r="B27" s="12" t="s">
        <v>85</v>
      </c>
      <c r="C27" s="12" t="s">
        <v>104</v>
      </c>
      <c r="D27" s="12">
        <v>130</v>
      </c>
      <c r="E27" s="12">
        <v>25</v>
      </c>
      <c r="F27" s="12" t="s">
        <v>36</v>
      </c>
      <c r="G27" s="10" t="str">
        <f t="shared" si="0"/>
        <v>STANDARDPRICE</v>
      </c>
      <c r="H27" s="12">
        <f>SUMIF(Table2[Category],Table2[[#This Row],[Category]],Table2[Price ($)])</f>
        <v>590</v>
      </c>
      <c r="I27" s="12">
        <f>COUNTIF(Table2[Price ($)],"&lt;100")</f>
        <v>11</v>
      </c>
      <c r="J27" s="12" t="str">
        <f>LEFT(Table2[[#This Row],[Product Name]],2)</f>
        <v>Su</v>
      </c>
      <c r="K27" s="12" t="str">
        <f>RIGHT(Table2[[#This Row],[Product Name]],2)</f>
        <v>es</v>
      </c>
      <c r="L27" s="17" t="str">
        <f>MID(Table2[[#This Row],[Product Name]],2,4)</f>
        <v>ungl</v>
      </c>
    </row>
    <row r="28" spans="1:15" ht="15.75" customHeight="1" x14ac:dyDescent="0.25">
      <c r="A28" s="9" t="s">
        <v>105</v>
      </c>
      <c r="B28" s="10" t="s">
        <v>55</v>
      </c>
      <c r="C28" s="10" t="s">
        <v>106</v>
      </c>
      <c r="D28" s="10">
        <v>400</v>
      </c>
      <c r="E28" s="10">
        <v>40</v>
      </c>
      <c r="F28" s="10" t="s">
        <v>40</v>
      </c>
      <c r="G28" s="10" t="str">
        <f t="shared" si="0"/>
        <v>STANDARDPRICE</v>
      </c>
      <c r="H28" s="12">
        <f>SUMIF(Table2[Category],Table2[[#This Row],[Category]],Table2[Price ($)])</f>
        <v>860</v>
      </c>
      <c r="I28" s="12">
        <f>COUNTIF(Table2[Price ($)],"&lt;100")</f>
        <v>11</v>
      </c>
      <c r="J28" s="12" t="str">
        <f>LEFT(Table2[[#This Row],[Product Name]],2)</f>
        <v>Bl</v>
      </c>
      <c r="K28" s="12" t="str">
        <f>RIGHT(Table2[[#This Row],[Product Name]],2)</f>
        <v>er</v>
      </c>
      <c r="L28" s="17" t="str">
        <f>MID(Table2[[#This Row],[Product Name]],2,4)</f>
        <v>lend</v>
      </c>
    </row>
    <row r="29" spans="1:15" ht="15.75" customHeight="1" x14ac:dyDescent="0.25">
      <c r="A29" s="11" t="s">
        <v>71</v>
      </c>
      <c r="B29" s="12" t="s">
        <v>49</v>
      </c>
      <c r="C29" s="12" t="s">
        <v>72</v>
      </c>
      <c r="D29" s="12">
        <v>230</v>
      </c>
      <c r="E29" s="12">
        <v>20</v>
      </c>
      <c r="F29" s="12" t="s">
        <v>32</v>
      </c>
      <c r="G29" s="10" t="str">
        <f t="shared" si="0"/>
        <v>STANDARDPRICE</v>
      </c>
      <c r="H29" s="12" t="s">
        <v>121</v>
      </c>
      <c r="I29" s="12">
        <f>COUNTIF(Table2[Price ($)],"&lt;100")</f>
        <v>11</v>
      </c>
      <c r="J29" s="12" t="str">
        <f>LEFT(Table2[[#This Row],[Product Name]],2)</f>
        <v>He</v>
      </c>
      <c r="K29" s="12" t="str">
        <f>RIGHT(Table2[[#This Row],[Product Name]],2)</f>
        <v>es</v>
      </c>
      <c r="L29" s="17" t="str">
        <f>MID(Table2[[#This Row],[Product Name]],2,4)</f>
        <v>eadp</v>
      </c>
    </row>
    <row r="30" spans="1:15" ht="15.75" customHeight="1" x14ac:dyDescent="0.25">
      <c r="A30" s="9" t="s">
        <v>107</v>
      </c>
      <c r="B30" s="10" t="s">
        <v>108</v>
      </c>
      <c r="C30" s="10" t="s">
        <v>109</v>
      </c>
      <c r="D30" s="10">
        <v>60</v>
      </c>
      <c r="E30" s="10">
        <v>30</v>
      </c>
      <c r="F30" s="10" t="s">
        <v>36</v>
      </c>
      <c r="G30" s="10" t="str">
        <f t="shared" si="0"/>
        <v>STANDARDPRICE</v>
      </c>
      <c r="H30" s="12">
        <f>SUMIF(Table2[Category],Table2[[#This Row],[Category]],Table2[Price ($)])</f>
        <v>590</v>
      </c>
      <c r="I30" s="12">
        <f>COUNTIF(Table2[Price ($)],"&lt;100")</f>
        <v>11</v>
      </c>
      <c r="J30" s="12" t="str">
        <f>LEFT(Table2[[#This Row],[Product Name]],2)</f>
        <v>Dr</v>
      </c>
      <c r="K30" s="12" t="str">
        <f>RIGHT(Table2[[#This Row],[Product Name]],2)</f>
        <v>ss</v>
      </c>
      <c r="L30" s="17" t="str">
        <f>MID(Table2[[#This Row],[Product Name]],2,4)</f>
        <v>ress</v>
      </c>
    </row>
    <row r="31" spans="1:15" ht="15.75" customHeight="1" x14ac:dyDescent="0.25">
      <c r="A31" s="11" t="s">
        <v>110</v>
      </c>
      <c r="B31" s="12" t="s">
        <v>111</v>
      </c>
      <c r="C31" s="12" t="s">
        <v>112</v>
      </c>
      <c r="D31" s="12">
        <v>40</v>
      </c>
      <c r="E31" s="12">
        <v>10</v>
      </c>
      <c r="F31" s="12" t="s">
        <v>40</v>
      </c>
      <c r="G31" s="10" t="str">
        <f t="shared" si="0"/>
        <v>STANDARDPRICE</v>
      </c>
      <c r="H31" s="12">
        <f>SUMIF(Table2[Category],Table2[[#This Row],[Category]],Table2[Price ($)])</f>
        <v>860</v>
      </c>
      <c r="I31" s="12">
        <f>COUNTIF(Table2[Price ($)],"&lt;100")</f>
        <v>11</v>
      </c>
      <c r="J31" s="12" t="str">
        <f>LEFT(Table2[[#This Row],[Product Name]],2)</f>
        <v>To</v>
      </c>
      <c r="K31" s="12" t="str">
        <f>RIGHT(Table2[[#This Row],[Product Name]],2)</f>
        <v>er</v>
      </c>
      <c r="L31" s="17" t="str">
        <f>MID(Table2[[#This Row],[Product Name]],2,4)</f>
        <v>oast</v>
      </c>
    </row>
    <row r="32" spans="1:15" ht="15.75" customHeight="1" x14ac:dyDescent="0.25">
      <c r="A32" s="9" t="s">
        <v>113</v>
      </c>
      <c r="B32" s="10" t="s">
        <v>99</v>
      </c>
      <c r="C32" s="10" t="s">
        <v>114</v>
      </c>
      <c r="D32" s="10">
        <v>130</v>
      </c>
      <c r="E32" s="10">
        <v>5</v>
      </c>
      <c r="F32" s="10" t="s">
        <v>32</v>
      </c>
      <c r="G32" s="10" t="str">
        <f t="shared" si="0"/>
        <v>STANDARDPRICE</v>
      </c>
      <c r="H32" s="12">
        <f>SUMIF(Table2[Category],Table2[[#This Row],[Category]],Table2[Price ($)])</f>
        <v>8050</v>
      </c>
      <c r="I32" s="12">
        <f>COUNTIF(Table2[Price ($)],"&lt;100")</f>
        <v>11</v>
      </c>
      <c r="J32" s="12" t="str">
        <f>LEFT(Table2[[#This Row],[Product Name]],2)</f>
        <v>Fi</v>
      </c>
      <c r="K32" s="12" t="str">
        <f>RIGHT(Table2[[#This Row],[Product Name]],2)</f>
        <v>er</v>
      </c>
      <c r="L32" s="17" t="str">
        <f>MID(Table2[[#This Row],[Product Name]],2,4)</f>
        <v>itne</v>
      </c>
    </row>
    <row r="33" spans="1:12" ht="15.75" customHeight="1" x14ac:dyDescent="0.25">
      <c r="A33" s="11" t="s">
        <v>115</v>
      </c>
      <c r="B33" s="12" t="s">
        <v>116</v>
      </c>
      <c r="C33" s="12" t="s">
        <v>117</v>
      </c>
      <c r="D33" s="12">
        <v>50</v>
      </c>
      <c r="E33" s="12">
        <v>50</v>
      </c>
      <c r="F33" s="12" t="s">
        <v>36</v>
      </c>
      <c r="G33" s="10" t="str">
        <f t="shared" si="0"/>
        <v>STANDARDPRICE</v>
      </c>
      <c r="H33" s="12">
        <f>SUMIF(Table2[Category],Table2[[#This Row],[Category]],Table2[Price ($)])</f>
        <v>590</v>
      </c>
      <c r="I33" s="12">
        <f>COUNTIF(Table2[Price ($)],"&lt;100")</f>
        <v>11</v>
      </c>
      <c r="J33" s="12" t="str">
        <f>LEFT(Table2[[#This Row],[Product Name]],2)</f>
        <v>Je</v>
      </c>
      <c r="K33" s="12" t="str">
        <f>RIGHT(Table2[[#This Row],[Product Name]],2)</f>
        <v>ns</v>
      </c>
      <c r="L33" s="17" t="str">
        <f>MID(Table2[[#This Row],[Product Name]],2,4)</f>
        <v>eans</v>
      </c>
    </row>
    <row r="34" spans="1:12" ht="15.75" customHeight="1" x14ac:dyDescent="0.25">
      <c r="A34" s="9" t="s">
        <v>63</v>
      </c>
      <c r="B34" s="10" t="s">
        <v>30</v>
      </c>
      <c r="C34" s="10" t="s">
        <v>64</v>
      </c>
      <c r="D34" s="10">
        <v>950</v>
      </c>
      <c r="E34" s="10">
        <v>25</v>
      </c>
      <c r="F34" s="10" t="s">
        <v>32</v>
      </c>
      <c r="G34" s="10" t="str">
        <f t="shared" si="0"/>
        <v>HIGHPRICE</v>
      </c>
      <c r="H34" s="12">
        <f>SUMIF(Table2[Category],Table2[[#This Row],[Category]],Table2[Price ($)])</f>
        <v>8050</v>
      </c>
      <c r="I34" s="12">
        <f>COUNTIF(Table2[Price ($)],"&lt;100")</f>
        <v>11</v>
      </c>
      <c r="J34" s="12" t="str">
        <f>LEFT(Table2[[#This Row],[Product Name]],2)</f>
        <v>La</v>
      </c>
      <c r="K34" s="12" t="str">
        <f>RIGHT(Table2[[#This Row],[Product Name]],2)</f>
        <v>op</v>
      </c>
      <c r="L34" s="17" t="str">
        <f>MID(Table2[[#This Row],[Product Name]],2,4)</f>
        <v>apto</v>
      </c>
    </row>
    <row r="35" spans="1:12" ht="15.75" customHeight="1" x14ac:dyDescent="0.25">
      <c r="A35" s="13" t="s">
        <v>118</v>
      </c>
      <c r="B35" s="14" t="s">
        <v>119</v>
      </c>
      <c r="C35" s="14" t="s">
        <v>120</v>
      </c>
      <c r="D35" s="14">
        <v>100</v>
      </c>
      <c r="E35" s="14">
        <v>20</v>
      </c>
      <c r="F35" s="14" t="s">
        <v>76</v>
      </c>
      <c r="G35" s="10" t="str">
        <f t="shared" si="0"/>
        <v>STANDARDPRICE</v>
      </c>
      <c r="H35" s="14">
        <f>SUMIF(Table2[Category],Table2[[#This Row],[Category]],Table2[Price ($)])</f>
        <v>200</v>
      </c>
      <c r="I35" s="14">
        <f>COUNTIF(Table2[Price ($)],"&lt;100")</f>
        <v>11</v>
      </c>
      <c r="J35" s="14" t="str">
        <f>LEFT(Table2[[#This Row],[Product Name]],2)</f>
        <v>Wa</v>
      </c>
      <c r="K35" s="14" t="str">
        <f>RIGHT(Table2[[#This Row],[Product Name]],2)</f>
        <v>ch</v>
      </c>
      <c r="L35" s="18" t="str">
        <f>MID(Table2[[#This Row],[Product Name]],2,4)</f>
        <v>atch</v>
      </c>
    </row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mishal muhammed ali</dc:creator>
  <cp:keywords/>
  <dc:description/>
  <cp:lastModifiedBy>mishal muhammed ali</cp:lastModifiedBy>
  <cp:revision/>
  <dcterms:created xsi:type="dcterms:W3CDTF">2026-08-26T12:22:13Z</dcterms:created>
  <dcterms:modified xsi:type="dcterms:W3CDTF">2026-09-10T08:14:22Z</dcterms:modified>
  <cp:category/>
  <cp:contentStatus/>
</cp:coreProperties>
</file>